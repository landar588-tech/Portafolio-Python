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GitHub\Portafolio-Python\PRODUCCION\"/>
    </mc:Choice>
  </mc:AlternateContent>
  <xr:revisionPtr revIDLastSave="0" documentId="13_ncr:1_{C6726B60-DEBD-446B-9CDD-761A9A6A35E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tos_Diarios" sheetId="1" r:id="rId1"/>
    <sheet name="Resumen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</calcChain>
</file>

<file path=xl/sharedStrings.xml><?xml version="1.0" encoding="utf-8"?>
<sst xmlns="http://schemas.openxmlformats.org/spreadsheetml/2006/main" count="232" uniqueCount="33">
  <si>
    <t>Fecha</t>
  </si>
  <si>
    <t>Día</t>
  </si>
  <si>
    <t>Semana</t>
  </si>
  <si>
    <t>Mes</t>
  </si>
  <si>
    <t>Turno</t>
  </si>
  <si>
    <t>Línea</t>
  </si>
  <si>
    <t>Producción Plan</t>
  </si>
  <si>
    <t>Producción Real</t>
  </si>
  <si>
    <t>Scrap (%)</t>
  </si>
  <si>
    <t>Tiempo Muerto (h)</t>
  </si>
  <si>
    <t>Operadores</t>
  </si>
  <si>
    <t>Eficiencia (%)</t>
  </si>
  <si>
    <t>Cumplimiento (%)</t>
  </si>
  <si>
    <t>Productividad por Operador</t>
  </si>
  <si>
    <t>Producción Acumulada</t>
  </si>
  <si>
    <t>Unidades Scrap</t>
  </si>
  <si>
    <t>Scrap Acumulado (%)</t>
  </si>
  <si>
    <t>Viernes</t>
  </si>
  <si>
    <t>Sábado</t>
  </si>
  <si>
    <t>Domingo</t>
  </si>
  <si>
    <t>Lunes</t>
  </si>
  <si>
    <t>Martes</t>
  </si>
  <si>
    <t>Miércoles</t>
  </si>
  <si>
    <t>Jueves</t>
  </si>
  <si>
    <t>mayo</t>
  </si>
  <si>
    <t>L1</t>
  </si>
  <si>
    <t>L2</t>
  </si>
  <si>
    <t>Resumen Diario</t>
  </si>
  <si>
    <t>Resumen Semanal</t>
  </si>
  <si>
    <t>Resumen Mensual</t>
  </si>
  <si>
    <t>Dashboard de Producción</t>
  </si>
  <si>
    <t>Producción Total</t>
  </si>
  <si>
    <t>Cumplimiento del Plan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</si>
</sst>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Producción diaria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Producción Real diaria</c:v>
          </c:tx>
          <c:invertIfNegative val="0"/>
          <c:cat>
            <c:numRef>
              <c:f>Resumen!$A$3:$A$32</c:f>
              <c:numCache>
                <c:formatCode>dd/mm/yyyy</c:formatCode>
                <c:ptCount val="3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</c:numCache>
            </c:numRef>
          </c:cat>
          <c:val>
            <c:numRef>
              <c:f>Resumen!$B$3:$B$32</c:f>
              <c:numCache>
                <c:formatCode>#,##0</c:formatCode>
                <c:ptCount val="30"/>
                <c:pt idx="0">
                  <c:v>4029</c:v>
                </c:pt>
                <c:pt idx="1">
                  <c:v>4075</c:v>
                </c:pt>
                <c:pt idx="2">
                  <c:v>4046</c:v>
                </c:pt>
                <c:pt idx="3">
                  <c:v>4033</c:v>
                </c:pt>
                <c:pt idx="4">
                  <c:v>4032</c:v>
                </c:pt>
                <c:pt idx="5">
                  <c:v>4055</c:v>
                </c:pt>
                <c:pt idx="6">
                  <c:v>4096</c:v>
                </c:pt>
                <c:pt idx="7">
                  <c:v>4114</c:v>
                </c:pt>
                <c:pt idx="8">
                  <c:v>4106</c:v>
                </c:pt>
                <c:pt idx="9">
                  <c:v>4083</c:v>
                </c:pt>
                <c:pt idx="10">
                  <c:v>4086</c:v>
                </c:pt>
                <c:pt idx="11">
                  <c:v>4073</c:v>
                </c:pt>
                <c:pt idx="12">
                  <c:v>4028</c:v>
                </c:pt>
                <c:pt idx="13">
                  <c:v>4065</c:v>
                </c:pt>
                <c:pt idx="14">
                  <c:v>4039</c:v>
                </c:pt>
                <c:pt idx="15">
                  <c:v>4172</c:v>
                </c:pt>
                <c:pt idx="16">
                  <c:v>4158</c:v>
                </c:pt>
                <c:pt idx="17">
                  <c:v>4070</c:v>
                </c:pt>
                <c:pt idx="18">
                  <c:v>4113</c:v>
                </c:pt>
                <c:pt idx="19">
                  <c:v>3970</c:v>
                </c:pt>
                <c:pt idx="20">
                  <c:v>4090</c:v>
                </c:pt>
                <c:pt idx="21">
                  <c:v>3966</c:v>
                </c:pt>
                <c:pt idx="22">
                  <c:v>3995</c:v>
                </c:pt>
                <c:pt idx="23">
                  <c:v>4129</c:v>
                </c:pt>
                <c:pt idx="24">
                  <c:v>4087</c:v>
                </c:pt>
                <c:pt idx="25">
                  <c:v>4128</c:v>
                </c:pt>
                <c:pt idx="26">
                  <c:v>4115</c:v>
                </c:pt>
                <c:pt idx="27">
                  <c:v>4084</c:v>
                </c:pt>
                <c:pt idx="28">
                  <c:v>4115</c:v>
                </c:pt>
                <c:pt idx="29">
                  <c:v>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4-42B0-8E39-124651D8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dd/mm/yyyy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Piezas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Producción semanal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Producción Real semanal</c:v>
          </c:tx>
          <c:invertIfNegative val="0"/>
          <c:cat>
            <c:numRef>
              <c:f>Resumen!$A$37:$A$41</c:f>
              <c:numCache>
                <c:formatCode>#,##0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</c:numCache>
            </c:numRef>
          </c:cat>
          <c:val>
            <c:numRef>
              <c:f>Resumen!$B$37:$B$41</c:f>
              <c:numCache>
                <c:formatCode>#,##0</c:formatCode>
                <c:ptCount val="5"/>
                <c:pt idx="0">
                  <c:v>12150</c:v>
                </c:pt>
                <c:pt idx="1">
                  <c:v>28519</c:v>
                </c:pt>
                <c:pt idx="2">
                  <c:v>28621</c:v>
                </c:pt>
                <c:pt idx="3">
                  <c:v>28333</c:v>
                </c:pt>
                <c:pt idx="4">
                  <c:v>24680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F-451B-B380-92A2743D1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Semana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Piezas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Producción mensual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Producción Real mensual</c:v>
          </c:tx>
          <c:invertIfNegative val="0"/>
          <c:cat>
            <c:strRef>
              <c:f>Resumen!$A$47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Resumen!$B$47</c:f>
              <c:numCache>
                <c:formatCode>#,##0</c:formatCode>
                <c:ptCount val="1"/>
                <c:pt idx="0">
                  <c:v>122303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0-43D1-BF58-9DEEC993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Piezas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Tendencia de eficiencia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Eficiencia diaria</c:v>
          </c:tx>
          <c:marker>
            <c:symbol val="none"/>
          </c:marker>
          <c:cat>
            <c:numRef>
              <c:f>Resumen!$A$3:$A$32</c:f>
              <c:numCache>
                <c:formatCode>dd/mm/yyyy</c:formatCode>
                <c:ptCount val="3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</c:numCache>
            </c:numRef>
          </c:cat>
          <c:val>
            <c:numRef>
              <c:f>Resumen!$F$3:$F$32</c:f>
              <c:numCache>
                <c:formatCode>0.00%</c:formatCode>
                <c:ptCount val="30"/>
                <c:pt idx="0">
                  <c:v>0.97199999999999998</c:v>
                </c:pt>
                <c:pt idx="1">
                  <c:v>0.96099999999999997</c:v>
                </c:pt>
                <c:pt idx="2">
                  <c:v>0.97099999999999997</c:v>
                </c:pt>
                <c:pt idx="3">
                  <c:v>0.97399999999999998</c:v>
                </c:pt>
                <c:pt idx="4">
                  <c:v>0.96649999999999991</c:v>
                </c:pt>
                <c:pt idx="5">
                  <c:v>0.97799999999999998</c:v>
                </c:pt>
                <c:pt idx="6">
                  <c:v>0.95299999999999996</c:v>
                </c:pt>
                <c:pt idx="7">
                  <c:v>0.98299999999999998</c:v>
                </c:pt>
                <c:pt idx="8">
                  <c:v>0.96199999999999997</c:v>
                </c:pt>
                <c:pt idx="9">
                  <c:v>0.97599999999999998</c:v>
                </c:pt>
                <c:pt idx="10">
                  <c:v>0.98399999999999999</c:v>
                </c:pt>
                <c:pt idx="11">
                  <c:v>0.95799999999999996</c:v>
                </c:pt>
                <c:pt idx="12">
                  <c:v>0.96350000000000002</c:v>
                </c:pt>
                <c:pt idx="13">
                  <c:v>0.97350000000000003</c:v>
                </c:pt>
                <c:pt idx="14">
                  <c:v>0.98649999999999993</c:v>
                </c:pt>
                <c:pt idx="15">
                  <c:v>0.96599999999999997</c:v>
                </c:pt>
                <c:pt idx="16">
                  <c:v>0.96849999999999992</c:v>
                </c:pt>
                <c:pt idx="17">
                  <c:v>0.97150000000000003</c:v>
                </c:pt>
                <c:pt idx="18">
                  <c:v>0.97299999999999998</c:v>
                </c:pt>
                <c:pt idx="19">
                  <c:v>0.96599999999999997</c:v>
                </c:pt>
                <c:pt idx="20">
                  <c:v>0.95849999999999991</c:v>
                </c:pt>
                <c:pt idx="21">
                  <c:v>0.97049999999999992</c:v>
                </c:pt>
                <c:pt idx="22">
                  <c:v>0.95649999999999991</c:v>
                </c:pt>
                <c:pt idx="23">
                  <c:v>0.95750000000000002</c:v>
                </c:pt>
                <c:pt idx="24">
                  <c:v>0.97550000000000003</c:v>
                </c:pt>
                <c:pt idx="25">
                  <c:v>0.97399999999999998</c:v>
                </c:pt>
                <c:pt idx="26">
                  <c:v>0.97399999999999998</c:v>
                </c:pt>
                <c:pt idx="27">
                  <c:v>0.96249999999999991</c:v>
                </c:pt>
                <c:pt idx="28">
                  <c:v>0.95899999999999996</c:v>
                </c:pt>
                <c:pt idx="29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C-4078-B425-64DD66D7E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crossAx val="50040002"/>
        <c:crosses val="autoZero"/>
        <c:auto val="1"/>
        <c:lblOffset val="100"/>
        <c:baseTimeUnit val="days"/>
      </c:dateAx>
      <c:valAx>
        <c:axId val="50040002"/>
        <c:scaling>
          <c:orientation val="minMax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Tendencia de scrap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Scrap diario</c:v>
          </c:tx>
          <c:marker>
            <c:symbol val="none"/>
          </c:marker>
          <c:cat>
            <c:numRef>
              <c:f>Resumen!$A$3:$A$32</c:f>
              <c:numCache>
                <c:formatCode>dd/mm/yyyy</c:formatCode>
                <c:ptCount val="3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</c:numCache>
            </c:numRef>
          </c:cat>
          <c:val>
            <c:numRef>
              <c:f>Resumen!$E$3:$E$32</c:f>
              <c:numCache>
                <c:formatCode>0.00%</c:formatCode>
                <c:ptCount val="30"/>
                <c:pt idx="0">
                  <c:v>2.5000000000000001E-2</c:v>
                </c:pt>
                <c:pt idx="1">
                  <c:v>2.35E-2</c:v>
                </c:pt>
                <c:pt idx="2">
                  <c:v>2.5499999999999998E-2</c:v>
                </c:pt>
                <c:pt idx="3">
                  <c:v>2.7E-2</c:v>
                </c:pt>
                <c:pt idx="4">
                  <c:v>2.1999999999999999E-2</c:v>
                </c:pt>
                <c:pt idx="5">
                  <c:v>2.4E-2</c:v>
                </c:pt>
                <c:pt idx="6">
                  <c:v>2.4500000000000001E-2</c:v>
                </c:pt>
                <c:pt idx="7">
                  <c:v>2.5499999999999998E-2</c:v>
                </c:pt>
                <c:pt idx="8">
                  <c:v>2.5999999999999999E-2</c:v>
                </c:pt>
                <c:pt idx="9">
                  <c:v>2.3E-2</c:v>
                </c:pt>
                <c:pt idx="10">
                  <c:v>2.4500000000000001E-2</c:v>
                </c:pt>
                <c:pt idx="11">
                  <c:v>2.1499999999999998E-2</c:v>
                </c:pt>
                <c:pt idx="12">
                  <c:v>2.4E-2</c:v>
                </c:pt>
                <c:pt idx="13">
                  <c:v>2.1499999999999998E-2</c:v>
                </c:pt>
                <c:pt idx="14">
                  <c:v>2.3E-2</c:v>
                </c:pt>
                <c:pt idx="15">
                  <c:v>2.4E-2</c:v>
                </c:pt>
                <c:pt idx="16">
                  <c:v>2.3E-2</c:v>
                </c:pt>
                <c:pt idx="17">
                  <c:v>2.1999999999999999E-2</c:v>
                </c:pt>
                <c:pt idx="18">
                  <c:v>2.3E-2</c:v>
                </c:pt>
                <c:pt idx="19">
                  <c:v>2.5999999999999999E-2</c:v>
                </c:pt>
                <c:pt idx="20">
                  <c:v>2.4E-2</c:v>
                </c:pt>
                <c:pt idx="21">
                  <c:v>2.4500000000000001E-2</c:v>
                </c:pt>
                <c:pt idx="22">
                  <c:v>2.35E-2</c:v>
                </c:pt>
                <c:pt idx="23">
                  <c:v>2.0500000000000001E-2</c:v>
                </c:pt>
                <c:pt idx="24">
                  <c:v>2.5499999999999998E-2</c:v>
                </c:pt>
                <c:pt idx="25">
                  <c:v>2.4E-2</c:v>
                </c:pt>
                <c:pt idx="26">
                  <c:v>2.1999999999999999E-2</c:v>
                </c:pt>
                <c:pt idx="27">
                  <c:v>2.4E-2</c:v>
                </c:pt>
                <c:pt idx="28">
                  <c:v>2.35E-2</c:v>
                </c:pt>
                <c:pt idx="29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2D-4859-A2F6-4802142C1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crossAx val="50050002"/>
        <c:crosses val="autoZero"/>
        <c:auto val="1"/>
        <c:lblOffset val="100"/>
        <c:baseTimeUnit val="days"/>
      </c:dateAx>
      <c:valAx>
        <c:axId val="50050002"/>
        <c:scaling>
          <c:orientation val="minMax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Tiempo muerto vs eficiencia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Tiempo muerto vs eficiencia</c:v>
          </c:tx>
          <c:spPr>
            <a:ln w="28575">
              <a:noFill/>
            </a:ln>
          </c:spPr>
          <c:xVal>
            <c:numRef>
              <c:f>Resumen!$G$3:$G$32</c:f>
              <c:numCache>
                <c:formatCode>#,##0</c:formatCode>
                <c:ptCount val="30"/>
                <c:pt idx="0">
                  <c:v>1.9</c:v>
                </c:pt>
                <c:pt idx="1">
                  <c:v>1.6</c:v>
                </c:pt>
                <c:pt idx="2">
                  <c:v>2.1</c:v>
                </c:pt>
                <c:pt idx="3">
                  <c:v>1.8</c:v>
                </c:pt>
                <c:pt idx="4">
                  <c:v>1.4</c:v>
                </c:pt>
                <c:pt idx="5">
                  <c:v>2.1</c:v>
                </c:pt>
                <c:pt idx="6">
                  <c:v>1.8</c:v>
                </c:pt>
                <c:pt idx="7">
                  <c:v>2.2000000000000002</c:v>
                </c:pt>
                <c:pt idx="8">
                  <c:v>1.8</c:v>
                </c:pt>
                <c:pt idx="9">
                  <c:v>1.9</c:v>
                </c:pt>
                <c:pt idx="10">
                  <c:v>1.6</c:v>
                </c:pt>
                <c:pt idx="11">
                  <c:v>1.7</c:v>
                </c:pt>
                <c:pt idx="12">
                  <c:v>1.4</c:v>
                </c:pt>
                <c:pt idx="13">
                  <c:v>1.9</c:v>
                </c:pt>
                <c:pt idx="14">
                  <c:v>1.5</c:v>
                </c:pt>
                <c:pt idx="15">
                  <c:v>1.3</c:v>
                </c:pt>
                <c:pt idx="16">
                  <c:v>2</c:v>
                </c:pt>
                <c:pt idx="17">
                  <c:v>1.3</c:v>
                </c:pt>
                <c:pt idx="18">
                  <c:v>1.8</c:v>
                </c:pt>
                <c:pt idx="19">
                  <c:v>2.1</c:v>
                </c:pt>
                <c:pt idx="20">
                  <c:v>2.1</c:v>
                </c:pt>
                <c:pt idx="21">
                  <c:v>2</c:v>
                </c:pt>
                <c:pt idx="22">
                  <c:v>1.5</c:v>
                </c:pt>
                <c:pt idx="23">
                  <c:v>1.4</c:v>
                </c:pt>
                <c:pt idx="24">
                  <c:v>1.1000000000000001</c:v>
                </c:pt>
                <c:pt idx="25">
                  <c:v>2.2000000000000002</c:v>
                </c:pt>
                <c:pt idx="26">
                  <c:v>1.8</c:v>
                </c:pt>
                <c:pt idx="27">
                  <c:v>1.2</c:v>
                </c:pt>
                <c:pt idx="28">
                  <c:v>2.2999999999999998</c:v>
                </c:pt>
                <c:pt idx="29">
                  <c:v>1.7</c:v>
                </c:pt>
              </c:numCache>
            </c:numRef>
          </c:xVal>
          <c:yVal>
            <c:numRef>
              <c:f>Resumen!$F$3:$F$32</c:f>
              <c:numCache>
                <c:formatCode>0.00%</c:formatCode>
                <c:ptCount val="30"/>
                <c:pt idx="0">
                  <c:v>0.97199999999999998</c:v>
                </c:pt>
                <c:pt idx="1">
                  <c:v>0.96099999999999997</c:v>
                </c:pt>
                <c:pt idx="2">
                  <c:v>0.97099999999999997</c:v>
                </c:pt>
                <c:pt idx="3">
                  <c:v>0.97399999999999998</c:v>
                </c:pt>
                <c:pt idx="4">
                  <c:v>0.96649999999999991</c:v>
                </c:pt>
                <c:pt idx="5">
                  <c:v>0.97799999999999998</c:v>
                </c:pt>
                <c:pt idx="6">
                  <c:v>0.95299999999999996</c:v>
                </c:pt>
                <c:pt idx="7">
                  <c:v>0.98299999999999998</c:v>
                </c:pt>
                <c:pt idx="8">
                  <c:v>0.96199999999999997</c:v>
                </c:pt>
                <c:pt idx="9">
                  <c:v>0.97599999999999998</c:v>
                </c:pt>
                <c:pt idx="10">
                  <c:v>0.98399999999999999</c:v>
                </c:pt>
                <c:pt idx="11">
                  <c:v>0.95799999999999996</c:v>
                </c:pt>
                <c:pt idx="12">
                  <c:v>0.96350000000000002</c:v>
                </c:pt>
                <c:pt idx="13">
                  <c:v>0.97350000000000003</c:v>
                </c:pt>
                <c:pt idx="14">
                  <c:v>0.98649999999999993</c:v>
                </c:pt>
                <c:pt idx="15">
                  <c:v>0.96599999999999997</c:v>
                </c:pt>
                <c:pt idx="16">
                  <c:v>0.96849999999999992</c:v>
                </c:pt>
                <c:pt idx="17">
                  <c:v>0.97150000000000003</c:v>
                </c:pt>
                <c:pt idx="18">
                  <c:v>0.97299999999999998</c:v>
                </c:pt>
                <c:pt idx="19">
                  <c:v>0.96599999999999997</c:v>
                </c:pt>
                <c:pt idx="20">
                  <c:v>0.95849999999999991</c:v>
                </c:pt>
                <c:pt idx="21">
                  <c:v>0.97049999999999992</c:v>
                </c:pt>
                <c:pt idx="22">
                  <c:v>0.95649999999999991</c:v>
                </c:pt>
                <c:pt idx="23">
                  <c:v>0.95750000000000002</c:v>
                </c:pt>
                <c:pt idx="24">
                  <c:v>0.97550000000000003</c:v>
                </c:pt>
                <c:pt idx="25">
                  <c:v>0.97399999999999998</c:v>
                </c:pt>
                <c:pt idx="26">
                  <c:v>0.97399999999999998</c:v>
                </c:pt>
                <c:pt idx="27">
                  <c:v>0.96249999999999991</c:v>
                </c:pt>
                <c:pt idx="28">
                  <c:v>0.95899999999999996</c:v>
                </c:pt>
                <c:pt idx="29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F0-4437-BC71-B245C63B7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 Muerto (h)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Eficiencia (%)</a:t>
                </a:r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crossAx val="5006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13</xdr:col>
      <xdr:colOff>304800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13</xdr:col>
      <xdr:colOff>304800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20</xdr:col>
      <xdr:colOff>0</xdr:colOff>
      <xdr:row>19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20</xdr:col>
      <xdr:colOff>0</xdr:colOff>
      <xdr:row>36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36</xdr:row>
      <xdr:rowOff>0</xdr:rowOff>
    </xdr:from>
    <xdr:to>
      <xdr:col>13</xdr:col>
      <xdr:colOff>304800</xdr:colOff>
      <xdr:row>53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36</xdr:row>
      <xdr:rowOff>0</xdr:rowOff>
    </xdr:from>
    <xdr:to>
      <xdr:col>20</xdr:col>
      <xdr:colOff>0</xdr:colOff>
      <xdr:row>53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workbookViewId="0"/>
  </sheetViews>
  <sheetFormatPr defaultRowHeight="14.4" x14ac:dyDescent="0.3"/>
  <cols>
    <col min="1" max="1" width="12.6640625" style="1" customWidth="1"/>
    <col min="2" max="2" width="12.6640625" customWidth="1"/>
    <col min="3" max="3" width="14.6640625" style="2" customWidth="1"/>
    <col min="4" max="4" width="12.6640625" customWidth="1"/>
    <col min="5" max="5" width="14.6640625" style="2" customWidth="1"/>
    <col min="6" max="6" width="8.6640625" customWidth="1"/>
    <col min="7" max="8" width="14.6640625" style="2" customWidth="1"/>
    <col min="9" max="9" width="14.6640625" style="3" customWidth="1"/>
    <col min="10" max="11" width="14.6640625" style="2" customWidth="1"/>
    <col min="12" max="13" width="14.6640625" style="3" customWidth="1"/>
    <col min="14" max="15" width="14.6640625" style="2" customWidth="1"/>
    <col min="17" max="17" width="14.6640625" style="3" customWidth="1"/>
  </cols>
  <sheetData>
    <row r="1" spans="1:17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1">
        <v>46143</v>
      </c>
      <c r="B2" t="s">
        <v>17</v>
      </c>
      <c r="C2" s="2">
        <v>18</v>
      </c>
      <c r="D2" t="s">
        <v>24</v>
      </c>
      <c r="E2" s="2">
        <v>1</v>
      </c>
      <c r="F2" t="s">
        <v>25</v>
      </c>
      <c r="G2" s="2">
        <v>2100</v>
      </c>
      <c r="H2" s="2">
        <v>1995</v>
      </c>
      <c r="I2" s="3">
        <v>2.4E-2</v>
      </c>
      <c r="J2" s="2">
        <v>1.2</v>
      </c>
      <c r="K2" s="2">
        <v>27</v>
      </c>
      <c r="L2" s="3">
        <v>0.98799999999999999</v>
      </c>
      <c r="M2" s="3">
        <v>0.95</v>
      </c>
      <c r="N2" s="2">
        <v>73.888888888888886</v>
      </c>
      <c r="O2" s="2">
        <v>1995</v>
      </c>
      <c r="P2">
        <v>47.88</v>
      </c>
      <c r="Q2" s="3">
        <v>2.4E-2</v>
      </c>
    </row>
    <row r="3" spans="1:17" x14ac:dyDescent="0.3">
      <c r="A3" s="1">
        <v>46143</v>
      </c>
      <c r="B3" t="s">
        <v>17</v>
      </c>
      <c r="C3" s="2">
        <v>18</v>
      </c>
      <c r="D3" t="s">
        <v>24</v>
      </c>
      <c r="E3" s="2">
        <v>2</v>
      </c>
      <c r="F3" t="s">
        <v>25</v>
      </c>
      <c r="G3" s="2">
        <v>2100</v>
      </c>
      <c r="H3" s="2">
        <v>2034</v>
      </c>
      <c r="I3" s="3">
        <v>2.5999999999999999E-2</v>
      </c>
      <c r="J3" s="2">
        <v>0.7</v>
      </c>
      <c r="K3" s="2">
        <v>25</v>
      </c>
      <c r="L3" s="3">
        <v>0.95599999999999996</v>
      </c>
      <c r="M3" s="3">
        <v>0.96857142857142853</v>
      </c>
      <c r="N3" s="2">
        <v>81.36</v>
      </c>
      <c r="O3" s="2">
        <v>4029</v>
      </c>
      <c r="P3">
        <v>52.884</v>
      </c>
      <c r="Q3" s="3">
        <v>2.5009679821295611E-2</v>
      </c>
    </row>
    <row r="4" spans="1:17" x14ac:dyDescent="0.3">
      <c r="A4" s="1">
        <v>46144</v>
      </c>
      <c r="B4" t="s">
        <v>18</v>
      </c>
      <c r="C4" s="2">
        <v>18</v>
      </c>
      <c r="D4" t="s">
        <v>24</v>
      </c>
      <c r="E4" s="2">
        <v>1</v>
      </c>
      <c r="F4" t="s">
        <v>26</v>
      </c>
      <c r="G4" s="2">
        <v>2100</v>
      </c>
      <c r="H4" s="2">
        <v>1998</v>
      </c>
      <c r="I4" s="3">
        <v>2.1999999999999999E-2</v>
      </c>
      <c r="J4" s="2">
        <v>0.6</v>
      </c>
      <c r="K4" s="2">
        <v>27</v>
      </c>
      <c r="L4" s="3">
        <v>0.97199999999999998</v>
      </c>
      <c r="M4" s="3">
        <v>0.9514285714285714</v>
      </c>
      <c r="N4" s="2">
        <v>74</v>
      </c>
      <c r="O4" s="2">
        <v>6027</v>
      </c>
      <c r="P4">
        <v>43.956000000000003</v>
      </c>
      <c r="Q4" s="3">
        <v>2.40119462419114E-2</v>
      </c>
    </row>
    <row r="5" spans="1:17" x14ac:dyDescent="0.3">
      <c r="A5" s="1">
        <v>46144</v>
      </c>
      <c r="B5" t="s">
        <v>18</v>
      </c>
      <c r="C5" s="2">
        <v>18</v>
      </c>
      <c r="D5" t="s">
        <v>24</v>
      </c>
      <c r="E5" s="2">
        <v>2</v>
      </c>
      <c r="F5" t="s">
        <v>26</v>
      </c>
      <c r="G5" s="2">
        <v>2100</v>
      </c>
      <c r="H5" s="2">
        <v>2077</v>
      </c>
      <c r="I5" s="3">
        <v>2.5000000000000001E-2</v>
      </c>
      <c r="J5" s="2">
        <v>1</v>
      </c>
      <c r="K5" s="2">
        <v>26</v>
      </c>
      <c r="L5" s="3">
        <v>0.95</v>
      </c>
      <c r="M5" s="3">
        <v>0.98904761904761906</v>
      </c>
      <c r="N5" s="2">
        <v>79.884615384615387</v>
      </c>
      <c r="O5" s="2">
        <v>8104</v>
      </c>
      <c r="P5">
        <v>51.924999999999997</v>
      </c>
      <c r="Q5" s="3">
        <v>2.4265177690029619E-2</v>
      </c>
    </row>
    <row r="6" spans="1:17" x14ac:dyDescent="0.3">
      <c r="A6" s="1">
        <v>46145</v>
      </c>
      <c r="B6" t="s">
        <v>19</v>
      </c>
      <c r="C6" s="2">
        <v>18</v>
      </c>
      <c r="D6" t="s">
        <v>24</v>
      </c>
      <c r="E6" s="2">
        <v>1</v>
      </c>
      <c r="F6" t="s">
        <v>25</v>
      </c>
      <c r="G6" s="2">
        <v>2100</v>
      </c>
      <c r="H6" s="2">
        <v>2004</v>
      </c>
      <c r="I6" s="3">
        <v>2.5000000000000001E-2</v>
      </c>
      <c r="J6" s="2">
        <v>1.2</v>
      </c>
      <c r="K6" s="2">
        <v>26</v>
      </c>
      <c r="L6" s="3">
        <v>0.96199999999999997</v>
      </c>
      <c r="M6" s="3">
        <v>0.95428571428571429</v>
      </c>
      <c r="N6" s="2">
        <v>77.07692307692308</v>
      </c>
      <c r="O6" s="2">
        <v>10108</v>
      </c>
      <c r="P6">
        <v>50.1</v>
      </c>
      <c r="Q6" s="3">
        <v>2.4410862683023352E-2</v>
      </c>
    </row>
    <row r="7" spans="1:17" x14ac:dyDescent="0.3">
      <c r="A7" s="1">
        <v>46145</v>
      </c>
      <c r="B7" t="s">
        <v>19</v>
      </c>
      <c r="C7" s="2">
        <v>18</v>
      </c>
      <c r="D7" t="s">
        <v>24</v>
      </c>
      <c r="E7" s="2">
        <v>2</v>
      </c>
      <c r="F7" t="s">
        <v>25</v>
      </c>
      <c r="G7" s="2">
        <v>2100</v>
      </c>
      <c r="H7" s="2">
        <v>2042</v>
      </c>
      <c r="I7" s="3">
        <v>2.5999999999999999E-2</v>
      </c>
      <c r="J7" s="2">
        <v>0.9</v>
      </c>
      <c r="K7" s="2">
        <v>27</v>
      </c>
      <c r="L7" s="3">
        <v>0.98</v>
      </c>
      <c r="M7" s="3">
        <v>0.97238095238095235</v>
      </c>
      <c r="N7" s="2">
        <v>75.629629629629633</v>
      </c>
      <c r="O7" s="2">
        <v>12150</v>
      </c>
      <c r="P7">
        <v>53.091999999999999</v>
      </c>
      <c r="Q7" s="3">
        <v>2.467794238683127E-2</v>
      </c>
    </row>
    <row r="8" spans="1:17" x14ac:dyDescent="0.3">
      <c r="A8" s="1">
        <v>46146</v>
      </c>
      <c r="B8" t="s">
        <v>20</v>
      </c>
      <c r="C8" s="2">
        <v>19</v>
      </c>
      <c r="D8" t="s">
        <v>24</v>
      </c>
      <c r="E8" s="2">
        <v>1</v>
      </c>
      <c r="F8" t="s">
        <v>26</v>
      </c>
      <c r="G8" s="2">
        <v>2100</v>
      </c>
      <c r="H8" s="2">
        <v>2041</v>
      </c>
      <c r="I8" s="3">
        <v>2.7E-2</v>
      </c>
      <c r="J8" s="2">
        <v>0.7</v>
      </c>
      <c r="K8" s="2">
        <v>27</v>
      </c>
      <c r="L8" s="3">
        <v>0.96</v>
      </c>
      <c r="M8" s="3">
        <v>0.97190476190476194</v>
      </c>
      <c r="N8" s="2">
        <v>75.592592592592595</v>
      </c>
      <c r="O8" s="2">
        <v>14191</v>
      </c>
      <c r="P8">
        <v>55.106999999999999</v>
      </c>
      <c r="Q8" s="3">
        <v>2.50119089563808E-2</v>
      </c>
    </row>
    <row r="9" spans="1:17" x14ac:dyDescent="0.3">
      <c r="A9" s="1">
        <v>46146</v>
      </c>
      <c r="B9" t="s">
        <v>20</v>
      </c>
      <c r="C9" s="2">
        <v>19</v>
      </c>
      <c r="D9" t="s">
        <v>24</v>
      </c>
      <c r="E9" s="2">
        <v>2</v>
      </c>
      <c r="F9" t="s">
        <v>26</v>
      </c>
      <c r="G9" s="2">
        <v>2100</v>
      </c>
      <c r="H9" s="2">
        <v>1992</v>
      </c>
      <c r="I9" s="3">
        <v>2.7E-2</v>
      </c>
      <c r="J9" s="2">
        <v>1.1000000000000001</v>
      </c>
      <c r="K9" s="2">
        <v>25</v>
      </c>
      <c r="L9" s="3">
        <v>0.98799999999999999</v>
      </c>
      <c r="M9" s="3">
        <v>0.94857142857142862</v>
      </c>
      <c r="N9" s="2">
        <v>79.680000000000007</v>
      </c>
      <c r="O9" s="2">
        <v>16183</v>
      </c>
      <c r="P9">
        <v>53.783999999999999</v>
      </c>
      <c r="Q9" s="3">
        <v>2.5256627324970641E-2</v>
      </c>
    </row>
    <row r="10" spans="1:17" x14ac:dyDescent="0.3">
      <c r="A10" s="1">
        <v>46147</v>
      </c>
      <c r="B10" t="s">
        <v>21</v>
      </c>
      <c r="C10" s="2">
        <v>19</v>
      </c>
      <c r="D10" t="s">
        <v>24</v>
      </c>
      <c r="E10" s="2">
        <v>1</v>
      </c>
      <c r="F10" t="s">
        <v>25</v>
      </c>
      <c r="G10" s="2">
        <v>2100</v>
      </c>
      <c r="H10" s="2">
        <v>1987</v>
      </c>
      <c r="I10" s="3">
        <v>2.3E-2</v>
      </c>
      <c r="J10" s="2">
        <v>0.5</v>
      </c>
      <c r="K10" s="2">
        <v>25</v>
      </c>
      <c r="L10" s="3">
        <v>0.95699999999999996</v>
      </c>
      <c r="M10" s="3">
        <v>0.94619047619047614</v>
      </c>
      <c r="N10" s="2">
        <v>79.48</v>
      </c>
      <c r="O10" s="2">
        <v>18170</v>
      </c>
      <c r="P10">
        <v>45.701000000000001</v>
      </c>
      <c r="Q10" s="3">
        <v>2.500985140341222E-2</v>
      </c>
    </row>
    <row r="11" spans="1:17" x14ac:dyDescent="0.3">
      <c r="A11" s="1">
        <v>46147</v>
      </c>
      <c r="B11" t="s">
        <v>21</v>
      </c>
      <c r="C11" s="2">
        <v>19</v>
      </c>
      <c r="D11" t="s">
        <v>24</v>
      </c>
      <c r="E11" s="2">
        <v>2</v>
      </c>
      <c r="F11" t="s">
        <v>25</v>
      </c>
      <c r="G11" s="2">
        <v>2100</v>
      </c>
      <c r="H11" s="2">
        <v>2045</v>
      </c>
      <c r="I11" s="3">
        <v>2.1000000000000001E-2</v>
      </c>
      <c r="J11" s="2">
        <v>0.9</v>
      </c>
      <c r="K11" s="2">
        <v>27</v>
      </c>
      <c r="L11" s="3">
        <v>0.97599999999999998</v>
      </c>
      <c r="M11" s="3">
        <v>0.97380952380952379</v>
      </c>
      <c r="N11" s="2">
        <v>75.740740740740748</v>
      </c>
      <c r="O11" s="2">
        <v>20215</v>
      </c>
      <c r="P11">
        <v>42.945</v>
      </c>
      <c r="Q11" s="3">
        <v>2.4604204798417011E-2</v>
      </c>
    </row>
    <row r="12" spans="1:17" x14ac:dyDescent="0.3">
      <c r="A12" s="1">
        <v>46148</v>
      </c>
      <c r="B12" t="s">
        <v>22</v>
      </c>
      <c r="C12" s="2">
        <v>19</v>
      </c>
      <c r="D12" t="s">
        <v>24</v>
      </c>
      <c r="E12" s="2">
        <v>1</v>
      </c>
      <c r="F12" t="s">
        <v>26</v>
      </c>
      <c r="G12" s="2">
        <v>2100</v>
      </c>
      <c r="H12" s="2">
        <v>2069</v>
      </c>
      <c r="I12" s="3">
        <v>2.3E-2</v>
      </c>
      <c r="J12" s="2">
        <v>1.2</v>
      </c>
      <c r="K12" s="2">
        <v>26</v>
      </c>
      <c r="L12" s="3">
        <v>0.98399999999999999</v>
      </c>
      <c r="M12" s="3">
        <v>0.98523809523809525</v>
      </c>
      <c r="N12" s="2">
        <v>79.57692307692308</v>
      </c>
      <c r="O12" s="2">
        <v>22284</v>
      </c>
      <c r="P12">
        <v>47.587000000000003</v>
      </c>
      <c r="Q12" s="3">
        <v>2.4455259378926581E-2</v>
      </c>
    </row>
    <row r="13" spans="1:17" x14ac:dyDescent="0.3">
      <c r="A13" s="1">
        <v>46148</v>
      </c>
      <c r="B13" t="s">
        <v>22</v>
      </c>
      <c r="C13" s="2">
        <v>19</v>
      </c>
      <c r="D13" t="s">
        <v>24</v>
      </c>
      <c r="E13" s="2">
        <v>2</v>
      </c>
      <c r="F13" t="s">
        <v>26</v>
      </c>
      <c r="G13" s="2">
        <v>2100</v>
      </c>
      <c r="H13" s="2">
        <v>1986</v>
      </c>
      <c r="I13" s="3">
        <v>2.5000000000000001E-2</v>
      </c>
      <c r="J13" s="2">
        <v>0.9</v>
      </c>
      <c r="K13" s="2">
        <v>26</v>
      </c>
      <c r="L13" s="3">
        <v>0.97199999999999998</v>
      </c>
      <c r="M13" s="3">
        <v>0.94571428571428573</v>
      </c>
      <c r="N13" s="2">
        <v>76.384615384615387</v>
      </c>
      <c r="O13" s="2">
        <v>24270</v>
      </c>
      <c r="P13">
        <v>49.650000000000013</v>
      </c>
      <c r="Q13" s="3">
        <v>2.4499835187474249E-2</v>
      </c>
    </row>
    <row r="14" spans="1:17" x14ac:dyDescent="0.3">
      <c r="A14" s="1">
        <v>46149</v>
      </c>
      <c r="B14" t="s">
        <v>23</v>
      </c>
      <c r="C14" s="2">
        <v>19</v>
      </c>
      <c r="D14" t="s">
        <v>24</v>
      </c>
      <c r="E14" s="2">
        <v>2</v>
      </c>
      <c r="F14" t="s">
        <v>25</v>
      </c>
      <c r="G14" s="2">
        <v>2100</v>
      </c>
      <c r="H14" s="2">
        <v>2046</v>
      </c>
      <c r="I14" s="3">
        <v>2.3E-2</v>
      </c>
      <c r="J14" s="2">
        <v>0.8</v>
      </c>
      <c r="K14" s="2">
        <v>26</v>
      </c>
      <c r="L14" s="3">
        <v>0.95399999999999996</v>
      </c>
      <c r="M14" s="3">
        <v>0.97428571428571431</v>
      </c>
      <c r="N14" s="2">
        <v>78.692307692307693</v>
      </c>
      <c r="O14" s="2">
        <v>26316</v>
      </c>
      <c r="P14">
        <v>47.058</v>
      </c>
      <c r="Q14" s="3">
        <v>2.4383226934184529E-2</v>
      </c>
    </row>
    <row r="15" spans="1:17" x14ac:dyDescent="0.3">
      <c r="A15" s="1">
        <v>46149</v>
      </c>
      <c r="B15" t="s">
        <v>23</v>
      </c>
      <c r="C15" s="2">
        <v>19</v>
      </c>
      <c r="D15" t="s">
        <v>24</v>
      </c>
      <c r="E15" s="2">
        <v>1</v>
      </c>
      <c r="F15" t="s">
        <v>25</v>
      </c>
      <c r="G15" s="2">
        <v>2100</v>
      </c>
      <c r="H15" s="2">
        <v>2050</v>
      </c>
      <c r="I15" s="3">
        <v>2.5999999999999999E-2</v>
      </c>
      <c r="J15" s="2">
        <v>1</v>
      </c>
      <c r="K15" s="2">
        <v>26</v>
      </c>
      <c r="L15" s="3">
        <v>0.95199999999999996</v>
      </c>
      <c r="M15" s="3">
        <v>0.97619047619047616</v>
      </c>
      <c r="N15" s="2">
        <v>78.84615384615384</v>
      </c>
      <c r="O15" s="2">
        <v>28366</v>
      </c>
      <c r="P15">
        <v>53.3</v>
      </c>
      <c r="Q15" s="3">
        <v>2.4500070506944929E-2</v>
      </c>
    </row>
    <row r="16" spans="1:17" x14ac:dyDescent="0.3">
      <c r="A16" s="1">
        <v>46150</v>
      </c>
      <c r="B16" t="s">
        <v>17</v>
      </c>
      <c r="C16" s="2">
        <v>19</v>
      </c>
      <c r="D16" t="s">
        <v>24</v>
      </c>
      <c r="E16" s="2">
        <v>1</v>
      </c>
      <c r="F16" t="s">
        <v>26</v>
      </c>
      <c r="G16" s="2">
        <v>2100</v>
      </c>
      <c r="H16" s="2">
        <v>2051</v>
      </c>
      <c r="I16" s="3">
        <v>2.5000000000000001E-2</v>
      </c>
      <c r="J16" s="2">
        <v>1.2</v>
      </c>
      <c r="K16" s="2">
        <v>25</v>
      </c>
      <c r="L16" s="3">
        <v>0.97899999999999998</v>
      </c>
      <c r="M16" s="3">
        <v>0.97666666666666668</v>
      </c>
      <c r="N16" s="2">
        <v>82.04</v>
      </c>
      <c r="O16" s="2">
        <v>30417</v>
      </c>
      <c r="P16">
        <v>51.275000000000013</v>
      </c>
      <c r="Q16" s="3">
        <v>2.4533780451721079E-2</v>
      </c>
    </row>
    <row r="17" spans="1:17" x14ac:dyDescent="0.3">
      <c r="A17" s="1">
        <v>46150</v>
      </c>
      <c r="B17" t="s">
        <v>17</v>
      </c>
      <c r="C17" s="2">
        <v>19</v>
      </c>
      <c r="D17" t="s">
        <v>24</v>
      </c>
      <c r="E17" s="2">
        <v>2</v>
      </c>
      <c r="F17" t="s">
        <v>26</v>
      </c>
      <c r="G17" s="2">
        <v>2100</v>
      </c>
      <c r="H17" s="2">
        <v>2063</v>
      </c>
      <c r="I17" s="3">
        <v>2.5999999999999999E-2</v>
      </c>
      <c r="J17" s="2">
        <v>1</v>
      </c>
      <c r="K17" s="2">
        <v>27</v>
      </c>
      <c r="L17" s="3">
        <v>0.98699999999999999</v>
      </c>
      <c r="M17" s="3">
        <v>0.98238095238095235</v>
      </c>
      <c r="N17" s="2">
        <v>76.407407407407405</v>
      </c>
      <c r="O17" s="2">
        <v>32480</v>
      </c>
      <c r="P17">
        <v>53.637999999999998</v>
      </c>
      <c r="Q17" s="3">
        <v>2.4626908866995069E-2</v>
      </c>
    </row>
    <row r="18" spans="1:17" x14ac:dyDescent="0.3">
      <c r="A18" s="1">
        <v>46151</v>
      </c>
      <c r="B18" t="s">
        <v>18</v>
      </c>
      <c r="C18" s="2">
        <v>19</v>
      </c>
      <c r="D18" t="s">
        <v>24</v>
      </c>
      <c r="E18" s="2">
        <v>1</v>
      </c>
      <c r="F18" t="s">
        <v>25</v>
      </c>
      <c r="G18" s="2">
        <v>2100</v>
      </c>
      <c r="H18" s="2">
        <v>2040</v>
      </c>
      <c r="I18" s="3">
        <v>2.5999999999999999E-2</v>
      </c>
      <c r="J18" s="2">
        <v>0.7</v>
      </c>
      <c r="K18" s="2">
        <v>27</v>
      </c>
      <c r="L18" s="3">
        <v>0.96399999999999997</v>
      </c>
      <c r="M18" s="3">
        <v>0.97142857142857142</v>
      </c>
      <c r="N18" s="2">
        <v>75.555555555555557</v>
      </c>
      <c r="O18" s="2">
        <v>34520</v>
      </c>
      <c r="P18">
        <v>53.04</v>
      </c>
      <c r="Q18" s="3">
        <v>2.4708053302433371E-2</v>
      </c>
    </row>
    <row r="19" spans="1:17" x14ac:dyDescent="0.3">
      <c r="A19" s="1">
        <v>46151</v>
      </c>
      <c r="B19" t="s">
        <v>18</v>
      </c>
      <c r="C19" s="2">
        <v>19</v>
      </c>
      <c r="D19" t="s">
        <v>24</v>
      </c>
      <c r="E19" s="2">
        <v>2</v>
      </c>
      <c r="F19" t="s">
        <v>25</v>
      </c>
      <c r="G19" s="2">
        <v>2100</v>
      </c>
      <c r="H19" s="2">
        <v>2066</v>
      </c>
      <c r="I19" s="3">
        <v>2.5999999999999999E-2</v>
      </c>
      <c r="J19" s="2">
        <v>1.1000000000000001</v>
      </c>
      <c r="K19" s="2">
        <v>26</v>
      </c>
      <c r="L19" s="3">
        <v>0.96</v>
      </c>
      <c r="M19" s="3">
        <v>0.9838095238095238</v>
      </c>
      <c r="N19" s="2">
        <v>79.461538461538467</v>
      </c>
      <c r="O19" s="2">
        <v>36586</v>
      </c>
      <c r="P19">
        <v>53.716000000000001</v>
      </c>
      <c r="Q19" s="3">
        <v>2.478100912917509E-2</v>
      </c>
    </row>
    <row r="20" spans="1:17" x14ac:dyDescent="0.3">
      <c r="A20" s="1">
        <v>46152</v>
      </c>
      <c r="B20" t="s">
        <v>19</v>
      </c>
      <c r="C20" s="2">
        <v>19</v>
      </c>
      <c r="D20" t="s">
        <v>24</v>
      </c>
      <c r="E20" s="2">
        <v>1</v>
      </c>
      <c r="F20" t="s">
        <v>26</v>
      </c>
      <c r="G20" s="2">
        <v>2100</v>
      </c>
      <c r="H20" s="2">
        <v>2037</v>
      </c>
      <c r="I20" s="3">
        <v>2.1999999999999999E-2</v>
      </c>
      <c r="J20" s="2">
        <v>1.2</v>
      </c>
      <c r="K20" s="2">
        <v>26</v>
      </c>
      <c r="L20" s="3">
        <v>0.97399999999999998</v>
      </c>
      <c r="M20" s="3">
        <v>0.97</v>
      </c>
      <c r="N20" s="2">
        <v>78.34615384615384</v>
      </c>
      <c r="O20" s="2">
        <v>38623</v>
      </c>
      <c r="P20">
        <v>44.814</v>
      </c>
      <c r="Q20" s="3">
        <v>2.4634337053051292E-2</v>
      </c>
    </row>
    <row r="21" spans="1:17" x14ac:dyDescent="0.3">
      <c r="A21" s="1">
        <v>46152</v>
      </c>
      <c r="B21" t="s">
        <v>19</v>
      </c>
      <c r="C21" s="2">
        <v>19</v>
      </c>
      <c r="D21" t="s">
        <v>24</v>
      </c>
      <c r="E21" s="2">
        <v>2</v>
      </c>
      <c r="F21" t="s">
        <v>26</v>
      </c>
      <c r="G21" s="2">
        <v>2100</v>
      </c>
      <c r="H21" s="2">
        <v>2046</v>
      </c>
      <c r="I21" s="3">
        <v>2.4E-2</v>
      </c>
      <c r="J21" s="2">
        <v>0.7</v>
      </c>
      <c r="K21" s="2">
        <v>27</v>
      </c>
      <c r="L21" s="3">
        <v>0.97799999999999998</v>
      </c>
      <c r="M21" s="3">
        <v>0.97428571428571431</v>
      </c>
      <c r="N21" s="2">
        <v>75.777777777777771</v>
      </c>
      <c r="O21" s="2">
        <v>40669</v>
      </c>
      <c r="P21">
        <v>49.103999999999999</v>
      </c>
      <c r="Q21" s="3">
        <v>2.460242445105609E-2</v>
      </c>
    </row>
    <row r="22" spans="1:17" x14ac:dyDescent="0.3">
      <c r="A22" s="1">
        <v>46153</v>
      </c>
      <c r="B22" t="s">
        <v>20</v>
      </c>
      <c r="C22" s="2">
        <v>20</v>
      </c>
      <c r="D22" t="s">
        <v>24</v>
      </c>
      <c r="E22" s="2">
        <v>1</v>
      </c>
      <c r="F22" t="s">
        <v>25</v>
      </c>
      <c r="G22" s="2">
        <v>2100</v>
      </c>
      <c r="H22" s="2">
        <v>2022</v>
      </c>
      <c r="I22" s="3">
        <v>2.5999999999999999E-2</v>
      </c>
      <c r="J22" s="2">
        <v>0.9</v>
      </c>
      <c r="K22" s="2">
        <v>26</v>
      </c>
      <c r="L22" s="3">
        <v>0.98099999999999998</v>
      </c>
      <c r="M22" s="3">
        <v>0.96285714285714286</v>
      </c>
      <c r="N22" s="2">
        <v>77.769230769230774</v>
      </c>
      <c r="O22" s="2">
        <v>42691</v>
      </c>
      <c r="P22">
        <v>52.572000000000003</v>
      </c>
      <c r="Q22" s="3">
        <v>2.466861867840997E-2</v>
      </c>
    </row>
    <row r="23" spans="1:17" x14ac:dyDescent="0.3">
      <c r="A23" s="1">
        <v>46153</v>
      </c>
      <c r="B23" t="s">
        <v>20</v>
      </c>
      <c r="C23" s="2">
        <v>20</v>
      </c>
      <c r="D23" t="s">
        <v>24</v>
      </c>
      <c r="E23" s="2">
        <v>2</v>
      </c>
      <c r="F23" t="s">
        <v>25</v>
      </c>
      <c r="G23" s="2">
        <v>2100</v>
      </c>
      <c r="H23" s="2">
        <v>2064</v>
      </c>
      <c r="I23" s="3">
        <v>2.3E-2</v>
      </c>
      <c r="J23" s="2">
        <v>0.7</v>
      </c>
      <c r="K23" s="2">
        <v>27</v>
      </c>
      <c r="L23" s="3">
        <v>0.98699999999999999</v>
      </c>
      <c r="M23" s="3">
        <v>0.98285714285714287</v>
      </c>
      <c r="N23" s="2">
        <v>76.444444444444443</v>
      </c>
      <c r="O23" s="2">
        <v>44755</v>
      </c>
      <c r="P23">
        <v>47.472000000000001</v>
      </c>
      <c r="Q23" s="3">
        <v>2.4591665735671991E-2</v>
      </c>
    </row>
    <row r="24" spans="1:17" x14ac:dyDescent="0.3">
      <c r="A24" s="1">
        <v>46154</v>
      </c>
      <c r="B24" t="s">
        <v>21</v>
      </c>
      <c r="C24" s="2">
        <v>20</v>
      </c>
      <c r="D24" t="s">
        <v>24</v>
      </c>
      <c r="E24" s="2">
        <v>1</v>
      </c>
      <c r="F24" t="s">
        <v>26</v>
      </c>
      <c r="G24" s="2">
        <v>2100</v>
      </c>
      <c r="H24" s="2">
        <v>2021</v>
      </c>
      <c r="I24" s="3">
        <v>2.1999999999999999E-2</v>
      </c>
      <c r="J24" s="2">
        <v>1.2</v>
      </c>
      <c r="K24" s="2">
        <v>26</v>
      </c>
      <c r="L24" s="3">
        <v>0.95199999999999996</v>
      </c>
      <c r="M24" s="3">
        <v>0.96238095238095234</v>
      </c>
      <c r="N24" s="2">
        <v>77.730769230769226</v>
      </c>
      <c r="O24" s="2">
        <v>46776</v>
      </c>
      <c r="P24">
        <v>44.462000000000003</v>
      </c>
      <c r="Q24" s="3">
        <v>2.4479690439541641E-2</v>
      </c>
    </row>
    <row r="25" spans="1:17" x14ac:dyDescent="0.3">
      <c r="A25" s="1">
        <v>46154</v>
      </c>
      <c r="B25" t="s">
        <v>21</v>
      </c>
      <c r="C25" s="2">
        <v>20</v>
      </c>
      <c r="D25" t="s">
        <v>24</v>
      </c>
      <c r="E25" s="2">
        <v>2</v>
      </c>
      <c r="F25" t="s">
        <v>26</v>
      </c>
      <c r="G25" s="2">
        <v>2100</v>
      </c>
      <c r="H25" s="2">
        <v>2052</v>
      </c>
      <c r="I25" s="3">
        <v>2.1000000000000001E-2</v>
      </c>
      <c r="J25" s="2">
        <v>0.5</v>
      </c>
      <c r="K25" s="2">
        <v>27</v>
      </c>
      <c r="L25" s="3">
        <v>0.96399999999999997</v>
      </c>
      <c r="M25" s="3">
        <v>0.97714285714285709</v>
      </c>
      <c r="N25" s="2">
        <v>76</v>
      </c>
      <c r="O25" s="2">
        <v>48828</v>
      </c>
      <c r="P25">
        <v>43.092000000000013</v>
      </c>
      <c r="Q25" s="3">
        <v>2.4333456213647912E-2</v>
      </c>
    </row>
    <row r="26" spans="1:17" x14ac:dyDescent="0.3">
      <c r="A26" s="1">
        <v>46155</v>
      </c>
      <c r="B26" t="s">
        <v>22</v>
      </c>
      <c r="C26" s="2">
        <v>20</v>
      </c>
      <c r="D26" t="s">
        <v>24</v>
      </c>
      <c r="E26" s="2">
        <v>1</v>
      </c>
      <c r="F26" t="s">
        <v>25</v>
      </c>
      <c r="G26" s="2">
        <v>2100</v>
      </c>
      <c r="H26" s="2">
        <v>2027</v>
      </c>
      <c r="I26" s="3">
        <v>2.1999999999999999E-2</v>
      </c>
      <c r="J26" s="2">
        <v>0.7</v>
      </c>
      <c r="K26" s="2">
        <v>25</v>
      </c>
      <c r="L26" s="3">
        <v>0.95099999999999996</v>
      </c>
      <c r="M26" s="3">
        <v>0.96523809523809523</v>
      </c>
      <c r="N26" s="2">
        <v>81.08</v>
      </c>
      <c r="O26" s="2">
        <v>50855</v>
      </c>
      <c r="P26">
        <v>44.593999999999987</v>
      </c>
      <c r="Q26" s="3">
        <v>2.42404483334972E-2</v>
      </c>
    </row>
    <row r="27" spans="1:17" x14ac:dyDescent="0.3">
      <c r="A27" s="1">
        <v>46155</v>
      </c>
      <c r="B27" t="s">
        <v>22</v>
      </c>
      <c r="C27" s="2">
        <v>20</v>
      </c>
      <c r="D27" t="s">
        <v>24</v>
      </c>
      <c r="E27" s="2">
        <v>2</v>
      </c>
      <c r="F27" t="s">
        <v>25</v>
      </c>
      <c r="G27" s="2">
        <v>2100</v>
      </c>
      <c r="H27" s="2">
        <v>2001</v>
      </c>
      <c r="I27" s="3">
        <v>2.5999999999999999E-2</v>
      </c>
      <c r="J27" s="2">
        <v>0.7</v>
      </c>
      <c r="K27" s="2">
        <v>25</v>
      </c>
      <c r="L27" s="3">
        <v>0.97599999999999998</v>
      </c>
      <c r="M27" s="3">
        <v>0.95285714285714285</v>
      </c>
      <c r="N27" s="2">
        <v>80.040000000000006</v>
      </c>
      <c r="O27" s="2">
        <v>52856</v>
      </c>
      <c r="P27">
        <v>52.026000000000003</v>
      </c>
      <c r="Q27" s="3">
        <v>2.430706069320418E-2</v>
      </c>
    </row>
    <row r="28" spans="1:17" x14ac:dyDescent="0.3">
      <c r="A28" s="1">
        <v>46156</v>
      </c>
      <c r="B28" t="s">
        <v>23</v>
      </c>
      <c r="C28" s="2">
        <v>20</v>
      </c>
      <c r="D28" t="s">
        <v>24</v>
      </c>
      <c r="E28" s="2">
        <v>1</v>
      </c>
      <c r="F28" t="s">
        <v>26</v>
      </c>
      <c r="G28" s="2">
        <v>2100</v>
      </c>
      <c r="H28" s="2">
        <v>2006</v>
      </c>
      <c r="I28" s="3">
        <v>2.3E-2</v>
      </c>
      <c r="J28" s="2">
        <v>0.6</v>
      </c>
      <c r="K28" s="2">
        <v>26</v>
      </c>
      <c r="L28" s="3">
        <v>0.96299999999999997</v>
      </c>
      <c r="M28" s="3">
        <v>0.95523809523809522</v>
      </c>
      <c r="N28" s="2">
        <v>77.15384615384616</v>
      </c>
      <c r="O28" s="2">
        <v>54862</v>
      </c>
      <c r="P28">
        <v>46.137999999999998</v>
      </c>
      <c r="Q28" s="3">
        <v>2.4259268710582919E-2</v>
      </c>
    </row>
    <row r="29" spans="1:17" x14ac:dyDescent="0.3">
      <c r="A29" s="1">
        <v>46156</v>
      </c>
      <c r="B29" t="s">
        <v>23</v>
      </c>
      <c r="C29" s="2">
        <v>20</v>
      </c>
      <c r="D29" t="s">
        <v>24</v>
      </c>
      <c r="E29" s="2">
        <v>2</v>
      </c>
      <c r="F29" t="s">
        <v>26</v>
      </c>
      <c r="G29" s="2">
        <v>2100</v>
      </c>
      <c r="H29" s="2">
        <v>2059</v>
      </c>
      <c r="I29" s="3">
        <v>0.02</v>
      </c>
      <c r="J29" s="2">
        <v>1.3</v>
      </c>
      <c r="K29" s="2">
        <v>26</v>
      </c>
      <c r="L29" s="3">
        <v>0.98399999999999999</v>
      </c>
      <c r="M29" s="3">
        <v>0.9804761904761905</v>
      </c>
      <c r="N29" s="2">
        <v>79.192307692307693</v>
      </c>
      <c r="O29" s="2">
        <v>56921</v>
      </c>
      <c r="P29">
        <v>41.18</v>
      </c>
      <c r="Q29" s="3">
        <v>2.4105198432915802E-2</v>
      </c>
    </row>
    <row r="30" spans="1:17" x14ac:dyDescent="0.3">
      <c r="A30" s="1">
        <v>46157</v>
      </c>
      <c r="B30" t="s">
        <v>17</v>
      </c>
      <c r="C30" s="2">
        <v>20</v>
      </c>
      <c r="D30" t="s">
        <v>24</v>
      </c>
      <c r="E30" s="2">
        <v>2</v>
      </c>
      <c r="F30" t="s">
        <v>25</v>
      </c>
      <c r="G30" s="2">
        <v>2100</v>
      </c>
      <c r="H30" s="2">
        <v>2048</v>
      </c>
      <c r="I30" s="3">
        <v>2.3E-2</v>
      </c>
      <c r="J30" s="2">
        <v>0.6</v>
      </c>
      <c r="K30" s="2">
        <v>26</v>
      </c>
      <c r="L30" s="3">
        <v>0.98399999999999999</v>
      </c>
      <c r="M30" s="3">
        <v>0.97523809523809524</v>
      </c>
      <c r="N30" s="2">
        <v>78.769230769230774</v>
      </c>
      <c r="O30" s="2">
        <v>58969</v>
      </c>
      <c r="P30">
        <v>47.103999999999999</v>
      </c>
      <c r="Q30" s="3">
        <v>2.4066814767081009E-2</v>
      </c>
    </row>
    <row r="31" spans="1:17" x14ac:dyDescent="0.3">
      <c r="A31" s="1">
        <v>46157</v>
      </c>
      <c r="B31" t="s">
        <v>17</v>
      </c>
      <c r="C31" s="2">
        <v>20</v>
      </c>
      <c r="D31" t="s">
        <v>24</v>
      </c>
      <c r="E31" s="2">
        <v>1</v>
      </c>
      <c r="F31" t="s">
        <v>25</v>
      </c>
      <c r="G31" s="2">
        <v>2100</v>
      </c>
      <c r="H31" s="2">
        <v>1991</v>
      </c>
      <c r="I31" s="3">
        <v>2.3E-2</v>
      </c>
      <c r="J31" s="2">
        <v>0.9</v>
      </c>
      <c r="K31" s="2">
        <v>27</v>
      </c>
      <c r="L31" s="3">
        <v>0.98899999999999999</v>
      </c>
      <c r="M31" s="3">
        <v>0.9480952380952381</v>
      </c>
      <c r="N31" s="2">
        <v>73.740740740740748</v>
      </c>
      <c r="O31" s="2">
        <v>60960</v>
      </c>
      <c r="P31">
        <v>45.792999999999999</v>
      </c>
      <c r="Q31" s="3">
        <v>2.4031971784776899E-2</v>
      </c>
    </row>
    <row r="32" spans="1:17" x14ac:dyDescent="0.3">
      <c r="A32" s="1">
        <v>46158</v>
      </c>
      <c r="B32" t="s">
        <v>18</v>
      </c>
      <c r="C32" s="2">
        <v>20</v>
      </c>
      <c r="D32" t="s">
        <v>24</v>
      </c>
      <c r="E32" s="2">
        <v>1</v>
      </c>
      <c r="F32" t="s">
        <v>26</v>
      </c>
      <c r="G32" s="2">
        <v>2100</v>
      </c>
      <c r="H32" s="2">
        <v>2072</v>
      </c>
      <c r="I32" s="3">
        <v>2.5000000000000001E-2</v>
      </c>
      <c r="J32" s="2">
        <v>0.8</v>
      </c>
      <c r="K32" s="2">
        <v>25</v>
      </c>
      <c r="L32" s="3">
        <v>0.97299999999999998</v>
      </c>
      <c r="M32" s="3">
        <v>0.98666666666666669</v>
      </c>
      <c r="N32" s="2">
        <v>82.88</v>
      </c>
      <c r="O32" s="2">
        <v>63032</v>
      </c>
      <c r="P32">
        <v>51.8</v>
      </c>
      <c r="Q32" s="3">
        <v>2.4063792994034779E-2</v>
      </c>
    </row>
    <row r="33" spans="1:17" x14ac:dyDescent="0.3">
      <c r="A33" s="1">
        <v>46158</v>
      </c>
      <c r="B33" t="s">
        <v>18</v>
      </c>
      <c r="C33" s="2">
        <v>20</v>
      </c>
      <c r="D33" t="s">
        <v>24</v>
      </c>
      <c r="E33" s="2">
        <v>2</v>
      </c>
      <c r="F33" t="s">
        <v>26</v>
      </c>
      <c r="G33" s="2">
        <v>2100</v>
      </c>
      <c r="H33" s="2">
        <v>2100</v>
      </c>
      <c r="I33" s="3">
        <v>2.3E-2</v>
      </c>
      <c r="J33" s="2">
        <v>0.5</v>
      </c>
      <c r="K33" s="2">
        <v>27</v>
      </c>
      <c r="L33" s="3">
        <v>0.95899999999999996</v>
      </c>
      <c r="M33" s="3">
        <v>1</v>
      </c>
      <c r="N33" s="2">
        <v>77.777777777777771</v>
      </c>
      <c r="O33" s="2">
        <v>65132</v>
      </c>
      <c r="P33">
        <v>48.3</v>
      </c>
      <c r="Q33" s="3">
        <v>2.4029493950746179E-2</v>
      </c>
    </row>
    <row r="34" spans="1:17" x14ac:dyDescent="0.3">
      <c r="A34" s="1">
        <v>46159</v>
      </c>
      <c r="B34" t="s">
        <v>19</v>
      </c>
      <c r="C34" s="2">
        <v>20</v>
      </c>
      <c r="D34" t="s">
        <v>24</v>
      </c>
      <c r="E34" s="2">
        <v>1</v>
      </c>
      <c r="F34" t="s">
        <v>25</v>
      </c>
      <c r="G34" s="2">
        <v>2100</v>
      </c>
      <c r="H34" s="2">
        <v>2093</v>
      </c>
      <c r="I34" s="3">
        <v>2.3E-2</v>
      </c>
      <c r="J34" s="2">
        <v>1</v>
      </c>
      <c r="K34" s="2">
        <v>27</v>
      </c>
      <c r="L34" s="3">
        <v>0.97199999999999998</v>
      </c>
      <c r="M34" s="3">
        <v>0.9966666666666667</v>
      </c>
      <c r="N34" s="2">
        <v>77.518518518518519</v>
      </c>
      <c r="O34" s="2">
        <v>67225</v>
      </c>
      <c r="P34">
        <v>48.139000000000003</v>
      </c>
      <c r="Q34" s="3">
        <v>2.399744142804016E-2</v>
      </c>
    </row>
    <row r="35" spans="1:17" x14ac:dyDescent="0.3">
      <c r="A35" s="1">
        <v>46159</v>
      </c>
      <c r="B35" t="s">
        <v>19</v>
      </c>
      <c r="C35" s="2">
        <v>20</v>
      </c>
      <c r="D35" t="s">
        <v>24</v>
      </c>
      <c r="E35" s="2">
        <v>2</v>
      </c>
      <c r="F35" t="s">
        <v>25</v>
      </c>
      <c r="G35" s="2">
        <v>2100</v>
      </c>
      <c r="H35" s="2">
        <v>2065</v>
      </c>
      <c r="I35" s="3">
        <v>2.3E-2</v>
      </c>
      <c r="J35" s="2">
        <v>1</v>
      </c>
      <c r="K35" s="2">
        <v>26</v>
      </c>
      <c r="L35" s="3">
        <v>0.96499999999999997</v>
      </c>
      <c r="M35" s="3">
        <v>0.98333333333333328</v>
      </c>
      <c r="N35" s="2">
        <v>79.42307692307692</v>
      </c>
      <c r="O35" s="2">
        <v>69290</v>
      </c>
      <c r="P35">
        <v>47.494999999999997</v>
      </c>
      <c r="Q35" s="3">
        <v>2.396771539904748E-2</v>
      </c>
    </row>
    <row r="36" spans="1:17" x14ac:dyDescent="0.3">
      <c r="A36" s="1">
        <v>46160</v>
      </c>
      <c r="B36" t="s">
        <v>20</v>
      </c>
      <c r="C36" s="2">
        <v>21</v>
      </c>
      <c r="D36" t="s">
        <v>24</v>
      </c>
      <c r="E36" s="2">
        <v>1</v>
      </c>
      <c r="F36" t="s">
        <v>26</v>
      </c>
      <c r="G36" s="2">
        <v>2100</v>
      </c>
      <c r="H36" s="2">
        <v>2036</v>
      </c>
      <c r="I36" s="3">
        <v>2.4E-2</v>
      </c>
      <c r="J36" s="2">
        <v>0.8</v>
      </c>
      <c r="K36" s="2">
        <v>25</v>
      </c>
      <c r="L36" s="3">
        <v>0.97499999999999998</v>
      </c>
      <c r="M36" s="3">
        <v>0.96952380952380957</v>
      </c>
      <c r="N36" s="2">
        <v>81.44</v>
      </c>
      <c r="O36" s="2">
        <v>71326</v>
      </c>
      <c r="P36">
        <v>48.863999999999997</v>
      </c>
      <c r="Q36" s="3">
        <v>2.39686369626784E-2</v>
      </c>
    </row>
    <row r="37" spans="1:17" x14ac:dyDescent="0.3">
      <c r="A37" s="1">
        <v>46160</v>
      </c>
      <c r="B37" t="s">
        <v>20</v>
      </c>
      <c r="C37" s="2">
        <v>21</v>
      </c>
      <c r="D37" t="s">
        <v>24</v>
      </c>
      <c r="E37" s="2">
        <v>2</v>
      </c>
      <c r="F37" t="s">
        <v>26</v>
      </c>
      <c r="G37" s="2">
        <v>2100</v>
      </c>
      <c r="H37" s="2">
        <v>2034</v>
      </c>
      <c r="I37" s="3">
        <v>0.02</v>
      </c>
      <c r="J37" s="2">
        <v>0.5</v>
      </c>
      <c r="K37" s="2">
        <v>25</v>
      </c>
      <c r="L37" s="3">
        <v>0.96799999999999997</v>
      </c>
      <c r="M37" s="3">
        <v>0.96857142857142853</v>
      </c>
      <c r="N37" s="2">
        <v>81.36</v>
      </c>
      <c r="O37" s="2">
        <v>73360</v>
      </c>
      <c r="P37">
        <v>40.68</v>
      </c>
      <c r="Q37" s="3">
        <v>2.3858601417666301E-2</v>
      </c>
    </row>
    <row r="38" spans="1:17" x14ac:dyDescent="0.3">
      <c r="A38" s="1">
        <v>46161</v>
      </c>
      <c r="B38" t="s">
        <v>21</v>
      </c>
      <c r="C38" s="2">
        <v>21</v>
      </c>
      <c r="D38" t="s">
        <v>24</v>
      </c>
      <c r="E38" s="2">
        <v>1</v>
      </c>
      <c r="F38" t="s">
        <v>25</v>
      </c>
      <c r="G38" s="2">
        <v>2100</v>
      </c>
      <c r="H38" s="2">
        <v>2098</v>
      </c>
      <c r="I38" s="3">
        <v>2.5000000000000001E-2</v>
      </c>
      <c r="J38" s="2">
        <v>0.8</v>
      </c>
      <c r="K38" s="2">
        <v>25</v>
      </c>
      <c r="L38" s="3">
        <v>0.97099999999999997</v>
      </c>
      <c r="M38" s="3">
        <v>0.99904761904761907</v>
      </c>
      <c r="N38" s="2">
        <v>83.92</v>
      </c>
      <c r="O38" s="2">
        <v>75458</v>
      </c>
      <c r="P38">
        <v>52.45</v>
      </c>
      <c r="Q38" s="3">
        <v>2.3890336346046811E-2</v>
      </c>
    </row>
    <row r="39" spans="1:17" x14ac:dyDescent="0.3">
      <c r="A39" s="1">
        <v>46161</v>
      </c>
      <c r="B39" t="s">
        <v>21</v>
      </c>
      <c r="C39" s="2">
        <v>21</v>
      </c>
      <c r="D39" t="s">
        <v>24</v>
      </c>
      <c r="E39" s="2">
        <v>2</v>
      </c>
      <c r="F39" t="s">
        <v>25</v>
      </c>
      <c r="G39" s="2">
        <v>2100</v>
      </c>
      <c r="H39" s="2">
        <v>2015</v>
      </c>
      <c r="I39" s="3">
        <v>2.1000000000000001E-2</v>
      </c>
      <c r="J39" s="2">
        <v>1</v>
      </c>
      <c r="K39" s="2">
        <v>26</v>
      </c>
      <c r="L39" s="3">
        <v>0.97499999999999998</v>
      </c>
      <c r="M39" s="3">
        <v>0.95952380952380956</v>
      </c>
      <c r="N39" s="2">
        <v>77.5</v>
      </c>
      <c r="O39" s="2">
        <v>77473</v>
      </c>
      <c r="P39">
        <v>42.314999999999998</v>
      </c>
      <c r="Q39" s="3">
        <v>2.381516141107224E-2</v>
      </c>
    </row>
    <row r="40" spans="1:17" x14ac:dyDescent="0.3">
      <c r="A40" s="1">
        <v>46162</v>
      </c>
      <c r="B40" t="s">
        <v>22</v>
      </c>
      <c r="C40" s="2">
        <v>21</v>
      </c>
      <c r="D40" t="s">
        <v>24</v>
      </c>
      <c r="E40" s="2">
        <v>1</v>
      </c>
      <c r="F40" t="s">
        <v>26</v>
      </c>
      <c r="G40" s="2">
        <v>2100</v>
      </c>
      <c r="H40" s="2">
        <v>1987</v>
      </c>
      <c r="I40" s="3">
        <v>2.5000000000000001E-2</v>
      </c>
      <c r="J40" s="2">
        <v>1</v>
      </c>
      <c r="K40" s="2">
        <v>26</v>
      </c>
      <c r="L40" s="3">
        <v>0.96799999999999997</v>
      </c>
      <c r="M40" s="3">
        <v>0.94619047619047614</v>
      </c>
      <c r="N40" s="2">
        <v>76.42307692307692</v>
      </c>
      <c r="O40" s="2">
        <v>79460</v>
      </c>
      <c r="P40">
        <v>49.674999999999997</v>
      </c>
      <c r="Q40" s="3">
        <v>2.3844789831361689E-2</v>
      </c>
    </row>
    <row r="41" spans="1:17" x14ac:dyDescent="0.3">
      <c r="A41" s="1">
        <v>46162</v>
      </c>
      <c r="B41" t="s">
        <v>22</v>
      </c>
      <c r="C41" s="2">
        <v>21</v>
      </c>
      <c r="D41" t="s">
        <v>24</v>
      </c>
      <c r="E41" s="2">
        <v>2</v>
      </c>
      <c r="F41" t="s">
        <v>26</v>
      </c>
      <c r="G41" s="2">
        <v>2100</v>
      </c>
      <c r="H41" s="2">
        <v>1983</v>
      </c>
      <c r="I41" s="3">
        <v>2.7E-2</v>
      </c>
      <c r="J41" s="2">
        <v>1.1000000000000001</v>
      </c>
      <c r="K41" s="2">
        <v>25</v>
      </c>
      <c r="L41" s="3">
        <v>0.96399999999999997</v>
      </c>
      <c r="M41" s="3">
        <v>0.94428571428571428</v>
      </c>
      <c r="N41" s="2">
        <v>79.319999999999993</v>
      </c>
      <c r="O41" s="2">
        <v>81443</v>
      </c>
      <c r="P41">
        <v>53.540999999999997</v>
      </c>
      <c r="Q41" s="3">
        <v>2.3921613889468701E-2</v>
      </c>
    </row>
    <row r="42" spans="1:17" x14ac:dyDescent="0.3">
      <c r="A42" s="1">
        <v>46163</v>
      </c>
      <c r="B42" t="s">
        <v>23</v>
      </c>
      <c r="C42" s="2">
        <v>21</v>
      </c>
      <c r="D42" t="s">
        <v>24</v>
      </c>
      <c r="E42" s="2">
        <v>1</v>
      </c>
      <c r="F42" t="s">
        <v>25</v>
      </c>
      <c r="G42" s="2">
        <v>2100</v>
      </c>
      <c r="H42" s="2">
        <v>2024</v>
      </c>
      <c r="I42" s="3">
        <v>2.4E-2</v>
      </c>
      <c r="J42" s="2">
        <v>1</v>
      </c>
      <c r="K42" s="2">
        <v>25</v>
      </c>
      <c r="L42" s="3">
        <v>0.96499999999999997</v>
      </c>
      <c r="M42" s="3">
        <v>0.96380952380952378</v>
      </c>
      <c r="N42" s="2">
        <v>80.959999999999994</v>
      </c>
      <c r="O42" s="2">
        <v>83467</v>
      </c>
      <c r="P42">
        <v>48.576000000000001</v>
      </c>
      <c r="Q42" s="3">
        <v>2.392351468244935E-2</v>
      </c>
    </row>
    <row r="43" spans="1:17" x14ac:dyDescent="0.3">
      <c r="A43" s="1">
        <v>46163</v>
      </c>
      <c r="B43" t="s">
        <v>23</v>
      </c>
      <c r="C43" s="2">
        <v>21</v>
      </c>
      <c r="D43" t="s">
        <v>24</v>
      </c>
      <c r="E43" s="2">
        <v>2</v>
      </c>
      <c r="F43" t="s">
        <v>25</v>
      </c>
      <c r="G43" s="2">
        <v>2100</v>
      </c>
      <c r="H43" s="2">
        <v>2066</v>
      </c>
      <c r="I43" s="3">
        <v>2.4E-2</v>
      </c>
      <c r="J43" s="2">
        <v>1.1000000000000001</v>
      </c>
      <c r="K43" s="2">
        <v>27</v>
      </c>
      <c r="L43" s="3">
        <v>0.95199999999999996</v>
      </c>
      <c r="M43" s="3">
        <v>0.9838095238095238</v>
      </c>
      <c r="N43" s="2">
        <v>76.518518518518519</v>
      </c>
      <c r="O43" s="2">
        <v>85533</v>
      </c>
      <c r="P43">
        <v>49.584000000000003</v>
      </c>
      <c r="Q43" s="3">
        <v>2.392536214092806E-2</v>
      </c>
    </row>
    <row r="44" spans="1:17" x14ac:dyDescent="0.3">
      <c r="A44" s="1">
        <v>46164</v>
      </c>
      <c r="B44" t="s">
        <v>17</v>
      </c>
      <c r="C44" s="2">
        <v>21</v>
      </c>
      <c r="D44" t="s">
        <v>24</v>
      </c>
      <c r="E44" s="2">
        <v>2</v>
      </c>
      <c r="F44" t="s">
        <v>26</v>
      </c>
      <c r="G44" s="2">
        <v>2100</v>
      </c>
      <c r="H44" s="2">
        <v>1985</v>
      </c>
      <c r="I44" s="3">
        <v>2.5000000000000001E-2</v>
      </c>
      <c r="J44" s="2">
        <v>0.9</v>
      </c>
      <c r="K44" s="2">
        <v>26</v>
      </c>
      <c r="L44" s="3">
        <v>0.97499999999999998</v>
      </c>
      <c r="M44" s="3">
        <v>0.94523809523809521</v>
      </c>
      <c r="N44" s="2">
        <v>76.34615384615384</v>
      </c>
      <c r="O44" s="2">
        <v>87518</v>
      </c>
      <c r="P44">
        <v>49.625</v>
      </c>
      <c r="Q44" s="3">
        <v>2.3949736054297399E-2</v>
      </c>
    </row>
    <row r="45" spans="1:17" x14ac:dyDescent="0.3">
      <c r="A45" s="1">
        <v>46164</v>
      </c>
      <c r="B45" t="s">
        <v>17</v>
      </c>
      <c r="C45" s="2">
        <v>21</v>
      </c>
      <c r="D45" t="s">
        <v>24</v>
      </c>
      <c r="E45" s="2">
        <v>1</v>
      </c>
      <c r="F45" t="s">
        <v>26</v>
      </c>
      <c r="G45" s="2">
        <v>2100</v>
      </c>
      <c r="H45" s="2">
        <v>1981</v>
      </c>
      <c r="I45" s="3">
        <v>2.4E-2</v>
      </c>
      <c r="J45" s="2">
        <v>1.1000000000000001</v>
      </c>
      <c r="K45" s="2">
        <v>25</v>
      </c>
      <c r="L45" s="3">
        <v>0.96599999999999997</v>
      </c>
      <c r="M45" s="3">
        <v>0.94333333333333336</v>
      </c>
      <c r="N45" s="2">
        <v>79.239999999999995</v>
      </c>
      <c r="O45" s="2">
        <v>89499</v>
      </c>
      <c r="P45">
        <v>47.543999999999997</v>
      </c>
      <c r="Q45" s="3">
        <v>2.3950848612833659E-2</v>
      </c>
    </row>
    <row r="46" spans="1:17" x14ac:dyDescent="0.3">
      <c r="A46" s="1">
        <v>46165</v>
      </c>
      <c r="B46" t="s">
        <v>18</v>
      </c>
      <c r="C46" s="2">
        <v>21</v>
      </c>
      <c r="D46" t="s">
        <v>24</v>
      </c>
      <c r="E46" s="2">
        <v>2</v>
      </c>
      <c r="F46" t="s">
        <v>25</v>
      </c>
      <c r="G46" s="2">
        <v>2100</v>
      </c>
      <c r="H46" s="2">
        <v>2012</v>
      </c>
      <c r="I46" s="3">
        <v>2.3E-2</v>
      </c>
      <c r="J46" s="2">
        <v>0.6</v>
      </c>
      <c r="K46" s="2">
        <v>27</v>
      </c>
      <c r="L46" s="3">
        <v>0.95699999999999996</v>
      </c>
      <c r="M46" s="3">
        <v>0.95809523809523811</v>
      </c>
      <c r="N46" s="2">
        <v>74.518518518518519</v>
      </c>
      <c r="O46" s="2">
        <v>91511</v>
      </c>
      <c r="P46">
        <v>46.276000000000003</v>
      </c>
      <c r="Q46" s="3">
        <v>2.3929942848400731E-2</v>
      </c>
    </row>
    <row r="47" spans="1:17" x14ac:dyDescent="0.3">
      <c r="A47" s="1">
        <v>46165</v>
      </c>
      <c r="B47" t="s">
        <v>18</v>
      </c>
      <c r="C47" s="2">
        <v>21</v>
      </c>
      <c r="D47" t="s">
        <v>24</v>
      </c>
      <c r="E47" s="2">
        <v>1</v>
      </c>
      <c r="F47" t="s">
        <v>25</v>
      </c>
      <c r="G47" s="2">
        <v>2100</v>
      </c>
      <c r="H47" s="2">
        <v>1983</v>
      </c>
      <c r="I47" s="3">
        <v>2.4E-2</v>
      </c>
      <c r="J47" s="2">
        <v>0.9</v>
      </c>
      <c r="K47" s="2">
        <v>25</v>
      </c>
      <c r="L47" s="3">
        <v>0.95599999999999996</v>
      </c>
      <c r="M47" s="3">
        <v>0.94428571428571428</v>
      </c>
      <c r="N47" s="2">
        <v>79.319999999999993</v>
      </c>
      <c r="O47" s="2">
        <v>93494</v>
      </c>
      <c r="P47">
        <v>47.591999999999999</v>
      </c>
      <c r="Q47" s="3">
        <v>2.3931428754786401E-2</v>
      </c>
    </row>
    <row r="48" spans="1:17" x14ac:dyDescent="0.3">
      <c r="A48" s="1">
        <v>46166</v>
      </c>
      <c r="B48" t="s">
        <v>19</v>
      </c>
      <c r="C48" s="2">
        <v>21</v>
      </c>
      <c r="D48" t="s">
        <v>24</v>
      </c>
      <c r="E48" s="2">
        <v>1</v>
      </c>
      <c r="F48" t="s">
        <v>26</v>
      </c>
      <c r="G48" s="2">
        <v>2100</v>
      </c>
      <c r="H48" s="2">
        <v>2086</v>
      </c>
      <c r="I48" s="3">
        <v>2.1000000000000001E-2</v>
      </c>
      <c r="J48" s="2">
        <v>0.5</v>
      </c>
      <c r="K48" s="2">
        <v>26</v>
      </c>
      <c r="L48" s="3">
        <v>0.95099999999999996</v>
      </c>
      <c r="M48" s="3">
        <v>0.99333333333333329</v>
      </c>
      <c r="N48" s="2">
        <v>80.230769230769226</v>
      </c>
      <c r="O48" s="2">
        <v>95580</v>
      </c>
      <c r="P48">
        <v>43.805999999999997</v>
      </c>
      <c r="Q48" s="3">
        <v>2.3867451349654741E-2</v>
      </c>
    </row>
    <row r="49" spans="1:17" x14ac:dyDescent="0.3">
      <c r="A49" s="1">
        <v>46166</v>
      </c>
      <c r="B49" t="s">
        <v>19</v>
      </c>
      <c r="C49" s="2">
        <v>21</v>
      </c>
      <c r="D49" t="s">
        <v>24</v>
      </c>
      <c r="E49" s="2">
        <v>2</v>
      </c>
      <c r="F49" t="s">
        <v>26</v>
      </c>
      <c r="G49" s="2">
        <v>2100</v>
      </c>
      <c r="H49" s="2">
        <v>2043</v>
      </c>
      <c r="I49" s="3">
        <v>0.02</v>
      </c>
      <c r="J49" s="2">
        <v>0.9</v>
      </c>
      <c r="K49" s="2">
        <v>25</v>
      </c>
      <c r="L49" s="3">
        <v>0.96399999999999997</v>
      </c>
      <c r="M49" s="3">
        <v>0.97285714285714286</v>
      </c>
      <c r="N49" s="2">
        <v>81.72</v>
      </c>
      <c r="O49" s="2">
        <v>97623</v>
      </c>
      <c r="P49">
        <v>40.86</v>
      </c>
      <c r="Q49" s="3">
        <v>2.3786515472788171E-2</v>
      </c>
    </row>
    <row r="50" spans="1:17" x14ac:dyDescent="0.3">
      <c r="A50" s="1">
        <v>46167</v>
      </c>
      <c r="B50" t="s">
        <v>20</v>
      </c>
      <c r="C50" s="2">
        <v>22</v>
      </c>
      <c r="D50" t="s">
        <v>24</v>
      </c>
      <c r="E50" s="2">
        <v>1</v>
      </c>
      <c r="F50" t="s">
        <v>25</v>
      </c>
      <c r="G50" s="2">
        <v>2100</v>
      </c>
      <c r="H50" s="2">
        <v>2016</v>
      </c>
      <c r="I50" s="3">
        <v>2.5000000000000001E-2</v>
      </c>
      <c r="J50" s="2">
        <v>0.5</v>
      </c>
      <c r="K50" s="2">
        <v>26</v>
      </c>
      <c r="L50" s="3">
        <v>0.97799999999999998</v>
      </c>
      <c r="M50" s="3">
        <v>0.96</v>
      </c>
      <c r="N50" s="2">
        <v>77.538461538461533</v>
      </c>
      <c r="O50" s="2">
        <v>99639</v>
      </c>
      <c r="P50">
        <v>50.400000000000013</v>
      </c>
      <c r="Q50" s="3">
        <v>2.3811067955318701E-2</v>
      </c>
    </row>
    <row r="51" spans="1:17" x14ac:dyDescent="0.3">
      <c r="A51" s="1">
        <v>46167</v>
      </c>
      <c r="B51" t="s">
        <v>20</v>
      </c>
      <c r="C51" s="2">
        <v>22</v>
      </c>
      <c r="D51" t="s">
        <v>24</v>
      </c>
      <c r="E51" s="2">
        <v>2</v>
      </c>
      <c r="F51" t="s">
        <v>25</v>
      </c>
      <c r="G51" s="2">
        <v>2100</v>
      </c>
      <c r="H51" s="2">
        <v>2071</v>
      </c>
      <c r="I51" s="3">
        <v>2.5999999999999999E-2</v>
      </c>
      <c r="J51" s="2">
        <v>0.6</v>
      </c>
      <c r="K51" s="2">
        <v>27</v>
      </c>
      <c r="L51" s="3">
        <v>0.97299999999999998</v>
      </c>
      <c r="M51" s="3">
        <v>0.98619047619047617</v>
      </c>
      <c r="N51" s="2">
        <v>76.703703703703709</v>
      </c>
      <c r="O51" s="2">
        <v>101710</v>
      </c>
      <c r="P51">
        <v>53.845999999999997</v>
      </c>
      <c r="Q51" s="3">
        <v>2.3855638580277259E-2</v>
      </c>
    </row>
    <row r="52" spans="1:17" x14ac:dyDescent="0.3">
      <c r="A52" s="1">
        <v>46168</v>
      </c>
      <c r="B52" t="s">
        <v>21</v>
      </c>
      <c r="C52" s="2">
        <v>22</v>
      </c>
      <c r="D52" t="s">
        <v>24</v>
      </c>
      <c r="E52" s="2">
        <v>1</v>
      </c>
      <c r="F52" t="s">
        <v>26</v>
      </c>
      <c r="G52" s="2">
        <v>2100</v>
      </c>
      <c r="H52" s="2">
        <v>2092</v>
      </c>
      <c r="I52" s="3">
        <v>2.7E-2</v>
      </c>
      <c r="J52" s="2">
        <v>1.2</v>
      </c>
      <c r="K52" s="2">
        <v>26</v>
      </c>
      <c r="L52" s="3">
        <v>0.96399999999999997</v>
      </c>
      <c r="M52" s="3">
        <v>0.99619047619047618</v>
      </c>
      <c r="N52" s="2">
        <v>80.461538461538467</v>
      </c>
      <c r="O52" s="2">
        <v>103802</v>
      </c>
      <c r="P52">
        <v>56.484000000000002</v>
      </c>
      <c r="Q52" s="3">
        <v>2.3919009267644169E-2</v>
      </c>
    </row>
    <row r="53" spans="1:17" x14ac:dyDescent="0.3">
      <c r="A53" s="1">
        <v>46168</v>
      </c>
      <c r="B53" t="s">
        <v>21</v>
      </c>
      <c r="C53" s="2">
        <v>22</v>
      </c>
      <c r="D53" t="s">
        <v>24</v>
      </c>
      <c r="E53" s="2">
        <v>2</v>
      </c>
      <c r="F53" t="s">
        <v>26</v>
      </c>
      <c r="G53" s="2">
        <v>2100</v>
      </c>
      <c r="H53" s="2">
        <v>2036</v>
      </c>
      <c r="I53" s="3">
        <v>2.1000000000000001E-2</v>
      </c>
      <c r="J53" s="2">
        <v>1</v>
      </c>
      <c r="K53" s="2">
        <v>26</v>
      </c>
      <c r="L53" s="3">
        <v>0.98399999999999999</v>
      </c>
      <c r="M53" s="3">
        <v>0.96952380952380957</v>
      </c>
      <c r="N53" s="2">
        <v>78.307692307692307</v>
      </c>
      <c r="O53" s="2">
        <v>105838</v>
      </c>
      <c r="P53">
        <v>42.756</v>
      </c>
      <c r="Q53" s="3">
        <v>2.3862856440975831E-2</v>
      </c>
    </row>
    <row r="54" spans="1:17" x14ac:dyDescent="0.3">
      <c r="A54" s="1">
        <v>46169</v>
      </c>
      <c r="B54" t="s">
        <v>22</v>
      </c>
      <c r="C54" s="2">
        <v>22</v>
      </c>
      <c r="D54" t="s">
        <v>24</v>
      </c>
      <c r="E54" s="2">
        <v>1</v>
      </c>
      <c r="F54" t="s">
        <v>25</v>
      </c>
      <c r="G54" s="2">
        <v>2100</v>
      </c>
      <c r="H54" s="2">
        <v>2062</v>
      </c>
      <c r="I54" s="3">
        <v>0.02</v>
      </c>
      <c r="J54" s="2">
        <v>0.6</v>
      </c>
      <c r="K54" s="2">
        <v>26</v>
      </c>
      <c r="L54" s="3">
        <v>0.97799999999999998</v>
      </c>
      <c r="M54" s="3">
        <v>0.98190476190476195</v>
      </c>
      <c r="N54" s="2">
        <v>79.307692307692307</v>
      </c>
      <c r="O54" s="2">
        <v>107900</v>
      </c>
      <c r="P54">
        <v>41.24</v>
      </c>
      <c r="Q54" s="3">
        <v>2.3789036144578311E-2</v>
      </c>
    </row>
    <row r="55" spans="1:17" x14ac:dyDescent="0.3">
      <c r="A55" s="1">
        <v>46169</v>
      </c>
      <c r="B55" t="s">
        <v>22</v>
      </c>
      <c r="C55" s="2">
        <v>22</v>
      </c>
      <c r="D55" t="s">
        <v>24</v>
      </c>
      <c r="E55" s="2">
        <v>2</v>
      </c>
      <c r="F55" t="s">
        <v>25</v>
      </c>
      <c r="G55" s="2">
        <v>2100</v>
      </c>
      <c r="H55" s="2">
        <v>2053</v>
      </c>
      <c r="I55" s="3">
        <v>2.4E-2</v>
      </c>
      <c r="J55" s="2">
        <v>1.2</v>
      </c>
      <c r="K55" s="2">
        <v>25</v>
      </c>
      <c r="L55" s="3">
        <v>0.97</v>
      </c>
      <c r="M55" s="3">
        <v>0.97761904761904761</v>
      </c>
      <c r="N55" s="2">
        <v>82.12</v>
      </c>
      <c r="O55" s="2">
        <v>109953</v>
      </c>
      <c r="P55">
        <v>49.271999999999998</v>
      </c>
      <c r="Q55" s="3">
        <v>2.3792975180304311E-2</v>
      </c>
    </row>
    <row r="56" spans="1:17" x14ac:dyDescent="0.3">
      <c r="A56" s="1">
        <v>46170</v>
      </c>
      <c r="B56" t="s">
        <v>23</v>
      </c>
      <c r="C56" s="2">
        <v>22</v>
      </c>
      <c r="D56" t="s">
        <v>24</v>
      </c>
      <c r="E56" s="2">
        <v>1</v>
      </c>
      <c r="F56" t="s">
        <v>26</v>
      </c>
      <c r="G56" s="2">
        <v>2100</v>
      </c>
      <c r="H56" s="2">
        <v>2081</v>
      </c>
      <c r="I56" s="3">
        <v>2.3E-2</v>
      </c>
      <c r="J56" s="2">
        <v>0.5</v>
      </c>
      <c r="K56" s="2">
        <v>25</v>
      </c>
      <c r="L56" s="3">
        <v>0.96399999999999997</v>
      </c>
      <c r="M56" s="3">
        <v>0.99095238095238092</v>
      </c>
      <c r="N56" s="2">
        <v>83.24</v>
      </c>
      <c r="O56" s="2">
        <v>112034</v>
      </c>
      <c r="P56">
        <v>47.863</v>
      </c>
      <c r="Q56" s="3">
        <v>2.3778245889640639E-2</v>
      </c>
    </row>
    <row r="57" spans="1:17" x14ac:dyDescent="0.3">
      <c r="A57" s="1">
        <v>46170</v>
      </c>
      <c r="B57" t="s">
        <v>23</v>
      </c>
      <c r="C57" s="2">
        <v>22</v>
      </c>
      <c r="D57" t="s">
        <v>24</v>
      </c>
      <c r="E57" s="2">
        <v>2</v>
      </c>
      <c r="F57" t="s">
        <v>26</v>
      </c>
      <c r="G57" s="2">
        <v>2100</v>
      </c>
      <c r="H57" s="2">
        <v>2003</v>
      </c>
      <c r="I57" s="3">
        <v>2.5000000000000001E-2</v>
      </c>
      <c r="J57" s="2">
        <v>0.7</v>
      </c>
      <c r="K57" s="2">
        <v>26</v>
      </c>
      <c r="L57" s="3">
        <v>0.96099999999999997</v>
      </c>
      <c r="M57" s="3">
        <v>0.95380952380952377</v>
      </c>
      <c r="N57" s="2">
        <v>77.038461538461533</v>
      </c>
      <c r="O57" s="2">
        <v>114037</v>
      </c>
      <c r="P57">
        <v>50.075000000000003</v>
      </c>
      <c r="Q57" s="3">
        <v>2.379970535878705E-2</v>
      </c>
    </row>
    <row r="58" spans="1:17" x14ac:dyDescent="0.3">
      <c r="A58" s="1">
        <v>46171</v>
      </c>
      <c r="B58" t="s">
        <v>17</v>
      </c>
      <c r="C58" s="2">
        <v>22</v>
      </c>
      <c r="D58" t="s">
        <v>24</v>
      </c>
      <c r="E58" s="2">
        <v>1</v>
      </c>
      <c r="F58" t="s">
        <v>25</v>
      </c>
      <c r="G58" s="2">
        <v>2100</v>
      </c>
      <c r="H58" s="2">
        <v>2048</v>
      </c>
      <c r="I58" s="3">
        <v>2.4E-2</v>
      </c>
      <c r="J58" s="2">
        <v>1.1000000000000001</v>
      </c>
      <c r="K58" s="2">
        <v>25</v>
      </c>
      <c r="L58" s="3">
        <v>0.95699999999999996</v>
      </c>
      <c r="M58" s="3">
        <v>0.97523809523809524</v>
      </c>
      <c r="N58" s="2">
        <v>81.92</v>
      </c>
      <c r="O58" s="2">
        <v>116085</v>
      </c>
      <c r="P58">
        <v>49.152000000000001</v>
      </c>
      <c r="Q58" s="3">
        <v>2.3803239005900839E-2</v>
      </c>
    </row>
    <row r="59" spans="1:17" x14ac:dyDescent="0.3">
      <c r="A59" s="1">
        <v>46171</v>
      </c>
      <c r="B59" t="s">
        <v>17</v>
      </c>
      <c r="C59" s="2">
        <v>22</v>
      </c>
      <c r="D59" t="s">
        <v>24</v>
      </c>
      <c r="E59" s="2">
        <v>2</v>
      </c>
      <c r="F59" t="s">
        <v>25</v>
      </c>
      <c r="G59" s="2">
        <v>2100</v>
      </c>
      <c r="H59" s="2">
        <v>2067</v>
      </c>
      <c r="I59" s="3">
        <v>2.3E-2</v>
      </c>
      <c r="J59" s="2">
        <v>1.2</v>
      </c>
      <c r="K59" s="2">
        <v>26</v>
      </c>
      <c r="L59" s="3">
        <v>0.96099999999999997</v>
      </c>
      <c r="M59" s="3">
        <v>0.98428571428571432</v>
      </c>
      <c r="N59" s="2">
        <v>79.5</v>
      </c>
      <c r="O59" s="2">
        <v>118152</v>
      </c>
      <c r="P59">
        <v>47.540999999999997</v>
      </c>
      <c r="Q59" s="3">
        <v>2.3789186810210569E-2</v>
      </c>
    </row>
    <row r="60" spans="1:17" x14ac:dyDescent="0.3">
      <c r="A60" s="1">
        <v>46172</v>
      </c>
      <c r="B60" t="s">
        <v>18</v>
      </c>
      <c r="C60" s="2">
        <v>22</v>
      </c>
      <c r="D60" t="s">
        <v>24</v>
      </c>
      <c r="E60" s="2">
        <v>1</v>
      </c>
      <c r="F60" t="s">
        <v>26</v>
      </c>
      <c r="G60" s="2">
        <v>2100</v>
      </c>
      <c r="H60" s="2">
        <v>2051</v>
      </c>
      <c r="I60" s="3">
        <v>2.4E-2</v>
      </c>
      <c r="J60" s="2">
        <v>1.1000000000000001</v>
      </c>
      <c r="K60" s="2">
        <v>27</v>
      </c>
      <c r="L60" s="3">
        <v>0.98699999999999999</v>
      </c>
      <c r="M60" s="3">
        <v>0.97666666666666668</v>
      </c>
      <c r="N60" s="2">
        <v>75.962962962962962</v>
      </c>
      <c r="O60" s="2">
        <v>120203</v>
      </c>
      <c r="P60">
        <v>49.223999999999997</v>
      </c>
      <c r="Q60" s="3">
        <v>2.3792783873946569E-2</v>
      </c>
    </row>
    <row r="61" spans="1:17" x14ac:dyDescent="0.3">
      <c r="A61" s="1">
        <v>46172</v>
      </c>
      <c r="B61" t="s">
        <v>18</v>
      </c>
      <c r="C61" s="2">
        <v>22</v>
      </c>
      <c r="D61" t="s">
        <v>24</v>
      </c>
      <c r="E61" s="2">
        <v>2</v>
      </c>
      <c r="F61" t="s">
        <v>26</v>
      </c>
      <c r="G61" s="2">
        <v>2100</v>
      </c>
      <c r="H61" s="2">
        <v>2100</v>
      </c>
      <c r="I61" s="3">
        <v>2.1999999999999999E-2</v>
      </c>
      <c r="J61" s="2">
        <v>0.6</v>
      </c>
      <c r="K61" s="2">
        <v>27</v>
      </c>
      <c r="L61" s="3">
        <v>0.95299999999999996</v>
      </c>
      <c r="M61" s="3">
        <v>1</v>
      </c>
      <c r="N61" s="2">
        <v>77.777777777777771</v>
      </c>
      <c r="O61" s="2">
        <v>122303</v>
      </c>
      <c r="P61">
        <v>46.2</v>
      </c>
      <c r="Q61" s="3">
        <v>2.376200093211123E-2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topLeftCell="A21" workbookViewId="0">
      <selection sqref="A1:J47"/>
    </sheetView>
  </sheetViews>
  <sheetFormatPr defaultRowHeight="14.4" x14ac:dyDescent="0.3"/>
  <cols>
    <col min="1" max="1" width="17.21875" bestFit="1" customWidth="1"/>
  </cols>
  <sheetData>
    <row r="1" spans="1:8" x14ac:dyDescent="0.3">
      <c r="A1" s="4" t="s">
        <v>27</v>
      </c>
    </row>
    <row r="2" spans="1:8" x14ac:dyDescent="0.3">
      <c r="A2" s="4" t="s">
        <v>0</v>
      </c>
      <c r="B2" s="4" t="s">
        <v>7</v>
      </c>
      <c r="C2" s="4" t="s">
        <v>6</v>
      </c>
      <c r="D2" s="4" t="s">
        <v>12</v>
      </c>
      <c r="E2" s="4" t="s">
        <v>8</v>
      </c>
      <c r="F2" s="4" t="s">
        <v>11</v>
      </c>
      <c r="G2" s="4" t="s">
        <v>9</v>
      </c>
      <c r="H2" s="4" t="s">
        <v>13</v>
      </c>
    </row>
    <row r="3" spans="1:8" x14ac:dyDescent="0.3">
      <c r="A3" s="1">
        <v>46143</v>
      </c>
      <c r="B3" s="2">
        <v>4029</v>
      </c>
      <c r="C3" s="2">
        <v>4200</v>
      </c>
      <c r="D3" s="3">
        <v>0.9592857142857143</v>
      </c>
      <c r="E3" s="3">
        <v>2.5000000000000001E-2</v>
      </c>
      <c r="F3" s="3">
        <v>0.97199999999999998</v>
      </c>
      <c r="G3" s="2">
        <v>1.9</v>
      </c>
      <c r="H3" s="2">
        <v>77.624444444444435</v>
      </c>
    </row>
    <row r="4" spans="1:8" x14ac:dyDescent="0.3">
      <c r="A4" s="1">
        <v>46144</v>
      </c>
      <c r="B4" s="2">
        <v>4075</v>
      </c>
      <c r="C4" s="2">
        <v>4200</v>
      </c>
      <c r="D4" s="3">
        <v>0.97023809523809523</v>
      </c>
      <c r="E4" s="3">
        <v>2.35E-2</v>
      </c>
      <c r="F4" s="3">
        <v>0.96099999999999997</v>
      </c>
      <c r="G4" s="2">
        <v>1.6</v>
      </c>
      <c r="H4" s="2">
        <v>76.942307692307693</v>
      </c>
    </row>
    <row r="5" spans="1:8" x14ac:dyDescent="0.3">
      <c r="A5" s="1">
        <v>46145</v>
      </c>
      <c r="B5" s="2">
        <v>4046</v>
      </c>
      <c r="C5" s="2">
        <v>4200</v>
      </c>
      <c r="D5" s="3">
        <v>0.96333333333333337</v>
      </c>
      <c r="E5" s="3">
        <v>2.5499999999999998E-2</v>
      </c>
      <c r="F5" s="3">
        <v>0.97099999999999997</v>
      </c>
      <c r="G5" s="2">
        <v>2.1</v>
      </c>
      <c r="H5" s="2">
        <v>76.353276353276357</v>
      </c>
    </row>
    <row r="6" spans="1:8" x14ac:dyDescent="0.3">
      <c r="A6" s="1">
        <v>46146</v>
      </c>
      <c r="B6" s="2">
        <v>4033</v>
      </c>
      <c r="C6" s="2">
        <v>4200</v>
      </c>
      <c r="D6" s="3">
        <v>0.96023809523809522</v>
      </c>
      <c r="E6" s="3">
        <v>2.7E-2</v>
      </c>
      <c r="F6" s="3">
        <v>0.97399999999999998</v>
      </c>
      <c r="G6" s="2">
        <v>1.8</v>
      </c>
      <c r="H6" s="2">
        <v>77.636296296296308</v>
      </c>
    </row>
    <row r="7" spans="1:8" x14ac:dyDescent="0.3">
      <c r="A7" s="1">
        <v>46147</v>
      </c>
      <c r="B7" s="2">
        <v>4032</v>
      </c>
      <c r="C7" s="2">
        <v>4200</v>
      </c>
      <c r="D7" s="3">
        <v>0.96</v>
      </c>
      <c r="E7" s="3">
        <v>2.1999999999999999E-2</v>
      </c>
      <c r="F7" s="3">
        <v>0.96649999999999991</v>
      </c>
      <c r="G7" s="2">
        <v>1.4</v>
      </c>
      <c r="H7" s="2">
        <v>77.610370370370376</v>
      </c>
    </row>
    <row r="8" spans="1:8" x14ac:dyDescent="0.3">
      <c r="A8" s="1">
        <v>46148</v>
      </c>
      <c r="B8" s="2">
        <v>4055</v>
      </c>
      <c r="C8" s="2">
        <v>4200</v>
      </c>
      <c r="D8" s="3">
        <v>0.96547619047619049</v>
      </c>
      <c r="E8" s="3">
        <v>2.4E-2</v>
      </c>
      <c r="F8" s="3">
        <v>0.97799999999999998</v>
      </c>
      <c r="G8" s="2">
        <v>2.1</v>
      </c>
      <c r="H8" s="2">
        <v>77.980769230769226</v>
      </c>
    </row>
    <row r="9" spans="1:8" x14ac:dyDescent="0.3">
      <c r="A9" s="1">
        <v>46149</v>
      </c>
      <c r="B9" s="2">
        <v>4096</v>
      </c>
      <c r="C9" s="2">
        <v>4200</v>
      </c>
      <c r="D9" s="3">
        <v>0.97523809523809524</v>
      </c>
      <c r="E9" s="3">
        <v>2.4500000000000001E-2</v>
      </c>
      <c r="F9" s="3">
        <v>0.95299999999999996</v>
      </c>
      <c r="G9" s="2">
        <v>1.8</v>
      </c>
      <c r="H9" s="2">
        <v>78.769230769230774</v>
      </c>
    </row>
    <row r="10" spans="1:8" x14ac:dyDescent="0.3">
      <c r="A10" s="1">
        <v>46150</v>
      </c>
      <c r="B10" s="2">
        <v>4114</v>
      </c>
      <c r="C10" s="2">
        <v>4200</v>
      </c>
      <c r="D10" s="3">
        <v>0.97952380952380957</v>
      </c>
      <c r="E10" s="3">
        <v>2.5499999999999998E-2</v>
      </c>
      <c r="F10" s="3">
        <v>0.98299999999999998</v>
      </c>
      <c r="G10" s="2">
        <v>2.2000000000000002</v>
      </c>
      <c r="H10" s="2">
        <v>79.223703703703706</v>
      </c>
    </row>
    <row r="11" spans="1:8" x14ac:dyDescent="0.3">
      <c r="A11" s="1">
        <v>46151</v>
      </c>
      <c r="B11" s="2">
        <v>4106</v>
      </c>
      <c r="C11" s="2">
        <v>4200</v>
      </c>
      <c r="D11" s="3">
        <v>0.97761904761904761</v>
      </c>
      <c r="E11" s="3">
        <v>2.5999999999999999E-2</v>
      </c>
      <c r="F11" s="3">
        <v>0.96199999999999997</v>
      </c>
      <c r="G11" s="2">
        <v>1.8</v>
      </c>
      <c r="H11" s="2">
        <v>77.508547008547012</v>
      </c>
    </row>
    <row r="12" spans="1:8" x14ac:dyDescent="0.3">
      <c r="A12" s="1">
        <v>46152</v>
      </c>
      <c r="B12" s="2">
        <v>4083</v>
      </c>
      <c r="C12" s="2">
        <v>4200</v>
      </c>
      <c r="D12" s="3">
        <v>0.9721428571428572</v>
      </c>
      <c r="E12" s="3">
        <v>2.3E-2</v>
      </c>
      <c r="F12" s="3">
        <v>0.97599999999999998</v>
      </c>
      <c r="G12" s="2">
        <v>1.9</v>
      </c>
      <c r="H12" s="2">
        <v>77.061965811965806</v>
      </c>
    </row>
    <row r="13" spans="1:8" x14ac:dyDescent="0.3">
      <c r="A13" s="1">
        <v>46153</v>
      </c>
      <c r="B13" s="2">
        <v>4086</v>
      </c>
      <c r="C13" s="2">
        <v>4200</v>
      </c>
      <c r="D13" s="3">
        <v>0.97285714285714286</v>
      </c>
      <c r="E13" s="3">
        <v>2.4500000000000001E-2</v>
      </c>
      <c r="F13" s="3">
        <v>0.98399999999999999</v>
      </c>
      <c r="G13" s="2">
        <v>1.6</v>
      </c>
      <c r="H13" s="2">
        <v>77.106837606837615</v>
      </c>
    </row>
    <row r="14" spans="1:8" x14ac:dyDescent="0.3">
      <c r="A14" s="1">
        <v>46154</v>
      </c>
      <c r="B14" s="2">
        <v>4073</v>
      </c>
      <c r="C14" s="2">
        <v>4200</v>
      </c>
      <c r="D14" s="3">
        <v>0.96976190476190471</v>
      </c>
      <c r="E14" s="3">
        <v>2.1499999999999998E-2</v>
      </c>
      <c r="F14" s="3">
        <v>0.95799999999999996</v>
      </c>
      <c r="G14" s="2">
        <v>1.7</v>
      </c>
      <c r="H14" s="2">
        <v>76.865384615384613</v>
      </c>
    </row>
    <row r="15" spans="1:8" x14ac:dyDescent="0.3">
      <c r="A15" s="1">
        <v>46155</v>
      </c>
      <c r="B15" s="2">
        <v>4028</v>
      </c>
      <c r="C15" s="2">
        <v>4200</v>
      </c>
      <c r="D15" s="3">
        <v>0.95904761904761904</v>
      </c>
      <c r="E15" s="3">
        <v>2.4E-2</v>
      </c>
      <c r="F15" s="3">
        <v>0.96350000000000002</v>
      </c>
      <c r="G15" s="2">
        <v>1.4</v>
      </c>
      <c r="H15" s="2">
        <v>80.56</v>
      </c>
    </row>
    <row r="16" spans="1:8" x14ac:dyDescent="0.3">
      <c r="A16" s="1">
        <v>46156</v>
      </c>
      <c r="B16" s="2">
        <v>4065</v>
      </c>
      <c r="C16" s="2">
        <v>4200</v>
      </c>
      <c r="D16" s="3">
        <v>0.96785714285714286</v>
      </c>
      <c r="E16" s="3">
        <v>2.1499999999999998E-2</v>
      </c>
      <c r="F16" s="3">
        <v>0.97350000000000003</v>
      </c>
      <c r="G16" s="2">
        <v>1.9</v>
      </c>
      <c r="H16" s="2">
        <v>78.173076923076934</v>
      </c>
    </row>
    <row r="17" spans="1:8" x14ac:dyDescent="0.3">
      <c r="A17" s="1">
        <v>46157</v>
      </c>
      <c r="B17" s="2">
        <v>4039</v>
      </c>
      <c r="C17" s="2">
        <v>4200</v>
      </c>
      <c r="D17" s="3">
        <v>0.96166666666666667</v>
      </c>
      <c r="E17" s="3">
        <v>2.3E-2</v>
      </c>
      <c r="F17" s="3">
        <v>0.98649999999999993</v>
      </c>
      <c r="G17" s="2">
        <v>1.5</v>
      </c>
      <c r="H17" s="2">
        <v>76.254985754985768</v>
      </c>
    </row>
    <row r="18" spans="1:8" x14ac:dyDescent="0.3">
      <c r="A18" s="1">
        <v>46158</v>
      </c>
      <c r="B18" s="2">
        <v>4172</v>
      </c>
      <c r="C18" s="2">
        <v>4200</v>
      </c>
      <c r="D18" s="3">
        <v>0.99333333333333329</v>
      </c>
      <c r="E18" s="3">
        <v>2.4E-2</v>
      </c>
      <c r="F18" s="3">
        <v>0.96599999999999997</v>
      </c>
      <c r="G18" s="2">
        <v>1.3</v>
      </c>
      <c r="H18" s="2">
        <v>80.328888888888883</v>
      </c>
    </row>
    <row r="19" spans="1:8" x14ac:dyDescent="0.3">
      <c r="A19" s="1">
        <v>46159</v>
      </c>
      <c r="B19" s="2">
        <v>4158</v>
      </c>
      <c r="C19" s="2">
        <v>4200</v>
      </c>
      <c r="D19" s="3">
        <v>0.99</v>
      </c>
      <c r="E19" s="3">
        <v>2.3E-2</v>
      </c>
      <c r="F19" s="3">
        <v>0.96849999999999992</v>
      </c>
      <c r="G19" s="2">
        <v>2</v>
      </c>
      <c r="H19" s="2">
        <v>78.470797720797719</v>
      </c>
    </row>
    <row r="20" spans="1:8" x14ac:dyDescent="0.3">
      <c r="A20" s="1">
        <v>46160</v>
      </c>
      <c r="B20" s="2">
        <v>4070</v>
      </c>
      <c r="C20" s="2">
        <v>4200</v>
      </c>
      <c r="D20" s="3">
        <v>0.96904761904761905</v>
      </c>
      <c r="E20" s="3">
        <v>2.1999999999999999E-2</v>
      </c>
      <c r="F20" s="3">
        <v>0.97150000000000003</v>
      </c>
      <c r="G20" s="2">
        <v>1.3</v>
      </c>
      <c r="H20" s="2">
        <v>81.400000000000006</v>
      </c>
    </row>
    <row r="21" spans="1:8" x14ac:dyDescent="0.3">
      <c r="A21" s="1">
        <v>46161</v>
      </c>
      <c r="B21" s="2">
        <v>4113</v>
      </c>
      <c r="C21" s="2">
        <v>4200</v>
      </c>
      <c r="D21" s="3">
        <v>0.97928571428571431</v>
      </c>
      <c r="E21" s="3">
        <v>2.3E-2</v>
      </c>
      <c r="F21" s="3">
        <v>0.97299999999999998</v>
      </c>
      <c r="G21" s="2">
        <v>1.8</v>
      </c>
      <c r="H21" s="2">
        <v>80.710000000000008</v>
      </c>
    </row>
    <row r="22" spans="1:8" x14ac:dyDescent="0.3">
      <c r="A22" s="1">
        <v>46162</v>
      </c>
      <c r="B22" s="2">
        <v>3970</v>
      </c>
      <c r="C22" s="2">
        <v>4200</v>
      </c>
      <c r="D22" s="3">
        <v>0.94523809523809521</v>
      </c>
      <c r="E22" s="3">
        <v>2.5999999999999999E-2</v>
      </c>
      <c r="F22" s="3">
        <v>0.96599999999999997</v>
      </c>
      <c r="G22" s="2">
        <v>2.1</v>
      </c>
      <c r="H22" s="2">
        <v>77.871538461538449</v>
      </c>
    </row>
    <row r="23" spans="1:8" x14ac:dyDescent="0.3">
      <c r="A23" s="1">
        <v>46163</v>
      </c>
      <c r="B23" s="2">
        <v>4090</v>
      </c>
      <c r="C23" s="2">
        <v>4200</v>
      </c>
      <c r="D23" s="3">
        <v>0.97380952380952379</v>
      </c>
      <c r="E23" s="3">
        <v>2.4E-2</v>
      </c>
      <c r="F23" s="3">
        <v>0.95849999999999991</v>
      </c>
      <c r="G23" s="2">
        <v>2.1</v>
      </c>
      <c r="H23" s="2">
        <v>78.739259259259256</v>
      </c>
    </row>
    <row r="24" spans="1:8" x14ac:dyDescent="0.3">
      <c r="A24" s="1">
        <v>46164</v>
      </c>
      <c r="B24" s="2">
        <v>3966</v>
      </c>
      <c r="C24" s="2">
        <v>4200</v>
      </c>
      <c r="D24" s="3">
        <v>0.94428571428571428</v>
      </c>
      <c r="E24" s="3">
        <v>2.4500000000000001E-2</v>
      </c>
      <c r="F24" s="3">
        <v>0.97049999999999992</v>
      </c>
      <c r="G24" s="2">
        <v>2</v>
      </c>
      <c r="H24" s="2">
        <v>77.79307692307691</v>
      </c>
    </row>
    <row r="25" spans="1:8" x14ac:dyDescent="0.3">
      <c r="A25" s="1">
        <v>46165</v>
      </c>
      <c r="B25" s="2">
        <v>3995</v>
      </c>
      <c r="C25" s="2">
        <v>4200</v>
      </c>
      <c r="D25" s="3">
        <v>0.95119047619047614</v>
      </c>
      <c r="E25" s="3">
        <v>2.35E-2</v>
      </c>
      <c r="F25" s="3">
        <v>0.95649999999999991</v>
      </c>
      <c r="G25" s="2">
        <v>1.5</v>
      </c>
      <c r="H25" s="2">
        <v>76.919259259259263</v>
      </c>
    </row>
    <row r="26" spans="1:8" x14ac:dyDescent="0.3">
      <c r="A26" s="1">
        <v>46166</v>
      </c>
      <c r="B26" s="2">
        <v>4129</v>
      </c>
      <c r="C26" s="2">
        <v>4200</v>
      </c>
      <c r="D26" s="3">
        <v>0.98309523809523813</v>
      </c>
      <c r="E26" s="3">
        <v>2.0500000000000001E-2</v>
      </c>
      <c r="F26" s="3">
        <v>0.95750000000000002</v>
      </c>
      <c r="G26" s="2">
        <v>1.4</v>
      </c>
      <c r="H26" s="2">
        <v>80.975384615384613</v>
      </c>
    </row>
    <row r="27" spans="1:8" x14ac:dyDescent="0.3">
      <c r="A27" s="1">
        <v>46167</v>
      </c>
      <c r="B27" s="2">
        <v>4087</v>
      </c>
      <c r="C27" s="2">
        <v>4200</v>
      </c>
      <c r="D27" s="3">
        <v>0.97309523809523812</v>
      </c>
      <c r="E27" s="3">
        <v>2.5499999999999998E-2</v>
      </c>
      <c r="F27" s="3">
        <v>0.97550000000000003</v>
      </c>
      <c r="G27" s="2">
        <v>1.1000000000000001</v>
      </c>
      <c r="H27" s="2">
        <v>77.121082621082621</v>
      </c>
    </row>
    <row r="28" spans="1:8" x14ac:dyDescent="0.3">
      <c r="A28" s="1">
        <v>46168</v>
      </c>
      <c r="B28" s="2">
        <v>4128</v>
      </c>
      <c r="C28" s="2">
        <v>4200</v>
      </c>
      <c r="D28" s="3">
        <v>0.98285714285714287</v>
      </c>
      <c r="E28" s="3">
        <v>2.4E-2</v>
      </c>
      <c r="F28" s="3">
        <v>0.97399999999999998</v>
      </c>
      <c r="G28" s="2">
        <v>2.2000000000000002</v>
      </c>
      <c r="H28" s="2">
        <v>79.384615384615387</v>
      </c>
    </row>
    <row r="29" spans="1:8" x14ac:dyDescent="0.3">
      <c r="A29" s="1">
        <v>46169</v>
      </c>
      <c r="B29" s="2">
        <v>4115</v>
      </c>
      <c r="C29" s="2">
        <v>4200</v>
      </c>
      <c r="D29" s="3">
        <v>0.97976190476190472</v>
      </c>
      <c r="E29" s="3">
        <v>2.1999999999999999E-2</v>
      </c>
      <c r="F29" s="3">
        <v>0.97399999999999998</v>
      </c>
      <c r="G29" s="2">
        <v>1.8</v>
      </c>
      <c r="H29" s="2">
        <v>80.713846153846163</v>
      </c>
    </row>
    <row r="30" spans="1:8" x14ac:dyDescent="0.3">
      <c r="A30" s="1">
        <v>46170</v>
      </c>
      <c r="B30" s="2">
        <v>4084</v>
      </c>
      <c r="C30" s="2">
        <v>4200</v>
      </c>
      <c r="D30" s="3">
        <v>0.97238095238095235</v>
      </c>
      <c r="E30" s="3">
        <v>2.4E-2</v>
      </c>
      <c r="F30" s="3">
        <v>0.96249999999999991</v>
      </c>
      <c r="G30" s="2">
        <v>1.2</v>
      </c>
      <c r="H30" s="2">
        <v>80.139230769230764</v>
      </c>
    </row>
    <row r="31" spans="1:8" x14ac:dyDescent="0.3">
      <c r="A31" s="1">
        <v>46171</v>
      </c>
      <c r="B31" s="2">
        <v>4115</v>
      </c>
      <c r="C31" s="2">
        <v>4200</v>
      </c>
      <c r="D31" s="3">
        <v>0.97976190476190472</v>
      </c>
      <c r="E31" s="3">
        <v>2.35E-2</v>
      </c>
      <c r="F31" s="3">
        <v>0.95899999999999996</v>
      </c>
      <c r="G31" s="2">
        <v>2.2999999999999998</v>
      </c>
      <c r="H31" s="2">
        <v>80.710000000000008</v>
      </c>
    </row>
    <row r="32" spans="1:8" x14ac:dyDescent="0.3">
      <c r="A32" s="1">
        <v>46172</v>
      </c>
      <c r="B32" s="2">
        <v>4151</v>
      </c>
      <c r="C32" s="2">
        <v>4200</v>
      </c>
      <c r="D32" s="3">
        <v>0.98833333333333329</v>
      </c>
      <c r="E32" s="3">
        <v>2.3E-2</v>
      </c>
      <c r="F32" s="3">
        <v>0.97</v>
      </c>
      <c r="G32" s="2">
        <v>1.7</v>
      </c>
      <c r="H32" s="2">
        <v>76.870370370370367</v>
      </c>
    </row>
    <row r="35" spans="1:8" x14ac:dyDescent="0.3">
      <c r="A35" s="4" t="s">
        <v>28</v>
      </c>
    </row>
    <row r="36" spans="1:8" x14ac:dyDescent="0.3">
      <c r="A36" s="4" t="s">
        <v>2</v>
      </c>
      <c r="B36" s="4" t="s">
        <v>7</v>
      </c>
      <c r="C36" s="4" t="s">
        <v>6</v>
      </c>
      <c r="D36" s="4" t="s">
        <v>12</v>
      </c>
      <c r="E36" s="4" t="s">
        <v>8</v>
      </c>
      <c r="F36" s="4" t="s">
        <v>11</v>
      </c>
      <c r="G36" s="4" t="s">
        <v>9</v>
      </c>
      <c r="H36" s="4" t="s">
        <v>13</v>
      </c>
    </row>
    <row r="37" spans="1:8" x14ac:dyDescent="0.3">
      <c r="A37" s="2">
        <v>18</v>
      </c>
      <c r="B37" s="2">
        <v>12150</v>
      </c>
      <c r="C37" s="2">
        <v>12600</v>
      </c>
      <c r="D37" s="3">
        <v>0.9642857142857143</v>
      </c>
      <c r="E37" s="3">
        <v>2.466666666666667E-2</v>
      </c>
      <c r="F37" s="3">
        <v>0.96799999999999997</v>
      </c>
      <c r="G37" s="2">
        <v>5.6</v>
      </c>
      <c r="H37" s="2">
        <v>76.9733428300095</v>
      </c>
    </row>
    <row r="38" spans="1:8" x14ac:dyDescent="0.3">
      <c r="A38" s="2">
        <v>19</v>
      </c>
      <c r="B38" s="2">
        <v>28519</v>
      </c>
      <c r="C38" s="2">
        <v>29400</v>
      </c>
      <c r="D38" s="3">
        <v>0.97003401360544217</v>
      </c>
      <c r="E38" s="3">
        <v>2.457142857142857E-2</v>
      </c>
      <c r="F38" s="3">
        <v>0.97035714285714281</v>
      </c>
      <c r="G38" s="2">
        <v>13</v>
      </c>
      <c r="H38" s="2">
        <v>77.970126170126164</v>
      </c>
    </row>
    <row r="39" spans="1:8" x14ac:dyDescent="0.3">
      <c r="A39" s="2">
        <v>20</v>
      </c>
      <c r="B39" s="2">
        <v>28621</v>
      </c>
      <c r="C39" s="2">
        <v>29400</v>
      </c>
      <c r="D39" s="3">
        <v>0.97350340136054425</v>
      </c>
      <c r="E39" s="3">
        <v>2.3071428571428569E-2</v>
      </c>
      <c r="F39" s="3">
        <v>0.97142857142857142</v>
      </c>
      <c r="G39" s="2">
        <v>11.4</v>
      </c>
      <c r="H39" s="2">
        <v>78.251424501424495</v>
      </c>
    </row>
    <row r="40" spans="1:8" x14ac:dyDescent="0.3">
      <c r="A40" s="2">
        <v>21</v>
      </c>
      <c r="B40" s="2">
        <v>28333</v>
      </c>
      <c r="C40" s="2">
        <v>29400</v>
      </c>
      <c r="D40" s="3">
        <v>0.96370748299319731</v>
      </c>
      <c r="E40" s="3">
        <v>2.3357142857142861E-2</v>
      </c>
      <c r="F40" s="3">
        <v>0.96478571428571425</v>
      </c>
      <c r="G40" s="2">
        <v>12.2</v>
      </c>
      <c r="H40" s="2">
        <v>79.201216931216919</v>
      </c>
    </row>
    <row r="41" spans="1:8" x14ac:dyDescent="0.3">
      <c r="A41" s="2">
        <v>22</v>
      </c>
      <c r="B41" s="2">
        <v>24680</v>
      </c>
      <c r="C41" s="2">
        <v>25200</v>
      </c>
      <c r="D41" s="3">
        <v>0.97936507936507933</v>
      </c>
      <c r="E41" s="3">
        <v>2.3666666666666669E-2</v>
      </c>
      <c r="F41" s="3">
        <v>0.96916666666666662</v>
      </c>
      <c r="G41" s="2">
        <v>10.3</v>
      </c>
      <c r="H41" s="2">
        <v>79.156524216524218</v>
      </c>
    </row>
    <row r="45" spans="1:8" x14ac:dyDescent="0.3">
      <c r="A45" s="4" t="s">
        <v>29</v>
      </c>
    </row>
    <row r="46" spans="1:8" x14ac:dyDescent="0.3">
      <c r="A46" s="4" t="s">
        <v>3</v>
      </c>
      <c r="B46" s="4" t="s">
        <v>7</v>
      </c>
      <c r="C46" s="4" t="s">
        <v>6</v>
      </c>
      <c r="D46" s="4" t="s">
        <v>12</v>
      </c>
      <c r="E46" s="4" t="s">
        <v>8</v>
      </c>
      <c r="F46" s="4" t="s">
        <v>11</v>
      </c>
      <c r="G46" s="4" t="s">
        <v>9</v>
      </c>
      <c r="H46" s="4" t="s">
        <v>13</v>
      </c>
    </row>
    <row r="47" spans="1:8" x14ac:dyDescent="0.3">
      <c r="A47" t="s">
        <v>24</v>
      </c>
      <c r="B47" s="2">
        <v>122303</v>
      </c>
      <c r="C47" s="2">
        <v>126000</v>
      </c>
      <c r="D47" s="3">
        <v>0.97065873015873017</v>
      </c>
      <c r="E47" s="3">
        <v>2.3766666666666669E-2</v>
      </c>
      <c r="F47" s="3">
        <v>0.96883333333333321</v>
      </c>
      <c r="G47" s="2">
        <v>52.5</v>
      </c>
      <c r="H47" s="2">
        <v>78.460618233618234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X13" sqref="X13"/>
    </sheetView>
  </sheetViews>
  <sheetFormatPr defaultRowHeight="14.4" x14ac:dyDescent="0.3"/>
  <cols>
    <col min="1" max="1" width="28.5546875" bestFit="1" customWidth="1"/>
    <col min="2" max="2" width="13.33203125" bestFit="1" customWidth="1"/>
  </cols>
  <sheetData>
    <row r="1" spans="1:2" x14ac:dyDescent="0.3">
      <c r="A1" s="4" t="s">
        <v>30</v>
      </c>
    </row>
    <row r="3" spans="1:2" ht="15.6" x14ac:dyDescent="0.3">
      <c r="A3" s="5" t="s">
        <v>31</v>
      </c>
      <c r="B3" s="6">
        <f>SUM(Datos_Diarios!H:H)</f>
        <v>122303</v>
      </c>
    </row>
    <row r="4" spans="1:2" ht="15.6" x14ac:dyDescent="0.3">
      <c r="A4" s="5" t="s">
        <v>32</v>
      </c>
      <c r="B4" s="7">
        <f>IF(SUM(Datos_Diarios!G:G)&gt;0,SUM(Datos_Diarios!H:H)/SUM(Datos_Diarios!G:G),0)</f>
        <v>0.97065873015873017</v>
      </c>
    </row>
    <row r="5" spans="1:2" ht="15.6" x14ac:dyDescent="0.3">
      <c r="A5" s="5" t="s">
        <v>11</v>
      </c>
      <c r="B5" s="7">
        <f>AVERAGE(Datos_Diarios!L:L)</f>
        <v>0.96883333333333366</v>
      </c>
    </row>
    <row r="6" spans="1:2" ht="15.6" x14ac:dyDescent="0.3">
      <c r="A6" s="5" t="s">
        <v>8</v>
      </c>
      <c r="B6" s="7">
        <f>AVERAGE(Datos_Diarios!I:I)</f>
        <v>2.3766666666666665E-2</v>
      </c>
    </row>
    <row r="7" spans="1:2" ht="15.6" x14ac:dyDescent="0.3">
      <c r="A7" s="5" t="s">
        <v>13</v>
      </c>
      <c r="B7" s="6">
        <f>AVERAGE(Datos_Diarios!N:N)</f>
        <v>78.460618233618248</v>
      </c>
    </row>
    <row r="8" spans="1:2" ht="15.6" x14ac:dyDescent="0.3">
      <c r="A8" s="5" t="s">
        <v>9</v>
      </c>
      <c r="B8" s="6">
        <f>SUM(Datos_Diarios!J:J)</f>
        <v>52.500000000000014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Datos_Diarios</vt:lpstr>
      <vt:lpstr>Resumen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Huacuja Landa</cp:lastModifiedBy>
  <dcterms:created xsi:type="dcterms:W3CDTF">2026-06-09T01:18:50Z</dcterms:created>
  <dcterms:modified xsi:type="dcterms:W3CDTF">2026-06-09T01:25:11Z</dcterms:modified>
</cp:coreProperties>
</file>