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GitHub\Portafolio-Python\PRODUCCION\"/>
    </mc:Choice>
  </mc:AlternateContent>
  <xr:revisionPtr revIDLastSave="0" documentId="13_ncr:1_{3E0FF4B7-F5C3-42A7-8E06-CAEF64654FA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tos" sheetId="1" r:id="rId1"/>
    <sheet name="Cálculo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J4" i="3" s="1"/>
  <c r="C8" i="2"/>
  <c r="C7" i="2"/>
  <c r="D4" i="3" s="1"/>
  <c r="C6" i="2"/>
  <c r="F4" i="3" s="1"/>
  <c r="C5" i="2"/>
  <c r="H4" i="3" s="1"/>
  <c r="C4" i="2"/>
  <c r="B4" i="3" s="1"/>
</calcChain>
</file>

<file path=xl/sharedStrings.xml><?xml version="1.0" encoding="utf-8"?>
<sst xmlns="http://schemas.openxmlformats.org/spreadsheetml/2006/main" count="40" uniqueCount="39">
  <si>
    <t>Mes</t>
  </si>
  <si>
    <t>Producción Plan</t>
  </si>
  <si>
    <t>Producción Real</t>
  </si>
  <si>
    <t>Scrap (%)</t>
  </si>
  <si>
    <t>Tiempo Muerto (h)</t>
  </si>
  <si>
    <t>Operadores</t>
  </si>
  <si>
    <t>Eficiencia (%)</t>
  </si>
  <si>
    <t>Cumplimiento_%</t>
  </si>
  <si>
    <t>Productividad_x_Operador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</si>
  <si>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</si>
  <si>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</si>
  <si>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</si>
  <si>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</si>
  <si>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</si>
  <si>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</si>
  <si>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</si>
  <si>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</si>
  <si>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</si>
  <si>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</si>
  <si>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</si>
  <si>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</si>
  <si>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KPIs Anuales</t>
  </si>
  <si>
    <t>Cumplimiento promedio anual</t>
  </si>
  <si>
    <t>Productividad promedio anual</t>
  </si>
  <si>
    <t>Scrap promedio anual</t>
  </si>
  <si>
    <t>Eficiencia promedio anual</t>
  </si>
  <si>
    <t>Tiempo muerto total anual</t>
  </si>
  <si>
    <t>Producción total anual</t>
  </si>
  <si>
    <t>DASHBOARD DE PRODUCCIÓN</t>
  </si>
  <si>
    <t>Cumplimiento (%)</t>
  </si>
  <si>
    <t>Scrap promedio (%)</t>
  </si>
  <si>
    <t>Productividad x Oper.</t>
  </si>
  <si>
    <t>Producción total</t>
  </si>
  <si>
    <t>Insights Ejecutivos</t>
  </si>
  <si>
    <t>• Estabilidad Operativa: La planta mantiene un nivel de eficiencia superior al 96 %, lo que refleja disciplina operativa y control del proceso.</t>
  </si>
  <si>
    <t>• Riesgo en Scrap: Aunque el promedio anual es bajo, los picos mensuales deben analizarse para evitar impacto en costo de material y retrabajo.</t>
  </si>
  <si>
    <t>• Impacto del Tiempo Muerto: Incrementos por encima de cierto umbral se asocian con caídas en eficiencia; se recomienda reforzar mantenimiento preventivo y SMED.</t>
  </si>
  <si>
    <t>• Productividad: La productividad por operador se mantiene estable; se sugiere evaluar automatización en meses de mayor demanda.</t>
  </si>
  <si>
    <t>• Cumplimiento del Plan: La tendencia es positiva, pero los meses con mayor scrap coinciden con ligeras desviaciones del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</si>
</sst>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Cumplimiento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Cumplimiento (%)</c:v>
          </c:tx>
          <c:spPr>
            <a:ln w="25400">
              <a:solidFill>
                <a:srgbClr val="1976D2"/>
              </a:solidFill>
            </a:ln>
          </c:spPr>
          <c:marker>
            <c:symbol val="none"/>
          </c:marker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Datos!$H$2:$H$13</c:f>
              <c:numCache>
                <c:formatCode>0.0%</c:formatCode>
                <c:ptCount val="12"/>
                <c:pt idx="0">
                  <c:v>0.96</c:v>
                </c:pt>
                <c:pt idx="1">
                  <c:v>0.95508474576271185</c:v>
                </c:pt>
                <c:pt idx="2">
                  <c:v>0.97459016393442621</c:v>
                </c:pt>
                <c:pt idx="3">
                  <c:v>0.96</c:v>
                </c:pt>
                <c:pt idx="4">
                  <c:v>0.97031250000000002</c:v>
                </c:pt>
                <c:pt idx="5">
                  <c:v>0.96423076923076922</c:v>
                </c:pt>
                <c:pt idx="6">
                  <c:v>0.95984848484848484</c:v>
                </c:pt>
                <c:pt idx="7">
                  <c:v>0.96</c:v>
                </c:pt>
                <c:pt idx="8">
                  <c:v>0.96376811594202894</c:v>
                </c:pt>
                <c:pt idx="9">
                  <c:v>0.97499999999999998</c:v>
                </c:pt>
                <c:pt idx="10">
                  <c:v>0.96619718309859159</c:v>
                </c:pt>
                <c:pt idx="11">
                  <c:v>0.96965517241379307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5-44E7-90DD-13EE4B1B1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0.0%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Eficiencia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Eficiencia (%)</c:v>
          </c:tx>
          <c:spPr>
            <a:ln w="25400">
              <a:solidFill>
                <a:srgbClr val="388E3C"/>
              </a:solidFill>
            </a:ln>
          </c:spPr>
          <c:marker>
            <c:symbol val="none"/>
          </c:marker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Datos!$G$2:$G$13</c:f>
              <c:numCache>
                <c:formatCode>0.0%</c:formatCode>
                <c:ptCount val="12"/>
                <c:pt idx="0">
                  <c:v>96</c:v>
                </c:pt>
                <c:pt idx="1">
                  <c:v>95.5</c:v>
                </c:pt>
                <c:pt idx="2">
                  <c:v>97.5</c:v>
                </c:pt>
                <c:pt idx="3">
                  <c:v>96</c:v>
                </c:pt>
                <c:pt idx="4">
                  <c:v>97</c:v>
                </c:pt>
                <c:pt idx="5">
                  <c:v>96.5</c:v>
                </c:pt>
                <c:pt idx="6">
                  <c:v>96</c:v>
                </c:pt>
                <c:pt idx="7">
                  <c:v>96</c:v>
                </c:pt>
                <c:pt idx="8">
                  <c:v>96.4</c:v>
                </c:pt>
                <c:pt idx="9">
                  <c:v>97.5</c:v>
                </c:pt>
                <c:pt idx="10">
                  <c:v>96.6</c:v>
                </c:pt>
                <c:pt idx="11">
                  <c:v>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7-499A-ADFD-CB84509D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numFmt formatCode="0.0%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Scrap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Scrap (%)</c:v>
          </c:tx>
          <c:spPr>
            <a:solidFill>
              <a:srgbClr val="64B5F6"/>
            </a:solidFill>
            <a:ln>
              <a:noFill/>
            </a:ln>
          </c:spPr>
          <c:invertIfNegative val="0"/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Datos!$D$2:$D$13</c:f>
              <c:numCache>
                <c:formatCode>0.0%</c:formatCode>
                <c:ptCount val="12"/>
                <c:pt idx="0">
                  <c:v>2.1</c:v>
                </c:pt>
                <c:pt idx="1">
                  <c:v>2.2999999999999998</c:v>
                </c:pt>
                <c:pt idx="2">
                  <c:v>2</c:v>
                </c:pt>
                <c:pt idx="3">
                  <c:v>2.4</c:v>
                </c:pt>
                <c:pt idx="4">
                  <c:v>2.2000000000000002</c:v>
                </c:pt>
                <c:pt idx="5">
                  <c:v>2.5</c:v>
                </c:pt>
                <c:pt idx="6">
                  <c:v>2.7</c:v>
                </c:pt>
                <c:pt idx="7">
                  <c:v>2.4</c:v>
                </c:pt>
                <c:pt idx="8">
                  <c:v>2.2999999999999998</c:v>
                </c:pt>
                <c:pt idx="9">
                  <c:v>2.1</c:v>
                </c:pt>
                <c:pt idx="10">
                  <c:v>2.4</c:v>
                </c:pt>
                <c:pt idx="11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F-46E2-B51C-F6FBC8C86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0.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Productividad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Productividad x Operador</c:v>
          </c:tx>
          <c:spPr>
            <a:solidFill>
              <a:srgbClr val="90CAF9"/>
            </a:solidFill>
            <a:ln>
              <a:noFill/>
            </a:ln>
          </c:spPr>
          <c:invertIfNegative val="0"/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Datos!$I$2:$I$13</c:f>
              <c:numCache>
                <c:formatCode>#,##0</c:formatCode>
                <c:ptCount val="12"/>
                <c:pt idx="0">
                  <c:v>2215.3846153846148</c:v>
                </c:pt>
                <c:pt idx="1">
                  <c:v>2209.8039215686281</c:v>
                </c:pt>
                <c:pt idx="2">
                  <c:v>2286.538461538461</c:v>
                </c:pt>
                <c:pt idx="3">
                  <c:v>2264.150943396226</c:v>
                </c:pt>
                <c:pt idx="4">
                  <c:v>2300</c:v>
                </c:pt>
                <c:pt idx="5">
                  <c:v>2321.2962962962961</c:v>
                </c:pt>
                <c:pt idx="6">
                  <c:v>2303.636363636364</c:v>
                </c:pt>
                <c:pt idx="7">
                  <c:v>2356.363636363636</c:v>
                </c:pt>
                <c:pt idx="8">
                  <c:v>2375</c:v>
                </c:pt>
                <c:pt idx="9">
                  <c:v>2437.5</c:v>
                </c:pt>
                <c:pt idx="10">
                  <c:v>2407.0175438596489</c:v>
                </c:pt>
                <c:pt idx="11">
                  <c:v>2466.666666666667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C-476D-B67E-E1DEBF97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Dispersión: Tiempo Muerto vs Eficiencia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Tiempo Muerto vs Eficiencia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64B5F6"/>
              </a:solidFill>
              <a:ln>
                <a:solidFill>
                  <a:srgbClr val="1976D2"/>
                </a:solidFill>
              </a:ln>
            </c:spPr>
          </c:marker>
          <c:xVal>
            <c:numRef>
              <c:f>Datos!$E$2:$E$13</c:f>
              <c:numCache>
                <c:formatCode>#,##0</c:formatCode>
                <c:ptCount val="12"/>
                <c:pt idx="0">
                  <c:v>38</c:v>
                </c:pt>
                <c:pt idx="1">
                  <c:v>42</c:v>
                </c:pt>
                <c:pt idx="2">
                  <c:v>35</c:v>
                </c:pt>
                <c:pt idx="3">
                  <c:v>40</c:v>
                </c:pt>
                <c:pt idx="4">
                  <c:v>37</c:v>
                </c:pt>
                <c:pt idx="5">
                  <c:v>45</c:v>
                </c:pt>
                <c:pt idx="6">
                  <c:v>48</c:v>
                </c:pt>
                <c:pt idx="7">
                  <c:v>41</c:v>
                </c:pt>
                <c:pt idx="8">
                  <c:v>39</c:v>
                </c:pt>
                <c:pt idx="9">
                  <c:v>36</c:v>
                </c:pt>
                <c:pt idx="10">
                  <c:v>43</c:v>
                </c:pt>
                <c:pt idx="11">
                  <c:v>40</c:v>
                </c:pt>
              </c:numCache>
            </c:numRef>
          </c:xVal>
          <c:yVal>
            <c:numRef>
              <c:f>Datos!$G$2:$G$13</c:f>
              <c:numCache>
                <c:formatCode>0.0%</c:formatCode>
                <c:ptCount val="12"/>
                <c:pt idx="0">
                  <c:v>96</c:v>
                </c:pt>
                <c:pt idx="1">
                  <c:v>95.5</c:v>
                </c:pt>
                <c:pt idx="2">
                  <c:v>97.5</c:v>
                </c:pt>
                <c:pt idx="3">
                  <c:v>96</c:v>
                </c:pt>
                <c:pt idx="4">
                  <c:v>97</c:v>
                </c:pt>
                <c:pt idx="5">
                  <c:v>96.5</c:v>
                </c:pt>
                <c:pt idx="6">
                  <c:v>96</c:v>
                </c:pt>
                <c:pt idx="7">
                  <c:v>96</c:v>
                </c:pt>
                <c:pt idx="8">
                  <c:v>96.4</c:v>
                </c:pt>
                <c:pt idx="9">
                  <c:v>97.5</c:v>
                </c:pt>
                <c:pt idx="10">
                  <c:v>96.6</c:v>
                </c:pt>
                <c:pt idx="11">
                  <c:v>96.9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F-42E6-BCB2-952F2A576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Muerto (h)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Eficiencia (%)</a:t>
                </a:r>
              </a:p>
            </c:rich>
          </c:tx>
          <c:overlay val="0"/>
        </c:title>
        <c:numFmt formatCode="0.0%" sourceLinked="0"/>
        <c:majorTickMark val="out"/>
        <c:minorTickMark val="none"/>
        <c:tickLblPos val="nextTo"/>
        <c:crossAx val="500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10</xdr:col>
      <xdr:colOff>457200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15</xdr:col>
      <xdr:colOff>457200</xdr:colOff>
      <xdr:row>25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10</xdr:col>
      <xdr:colOff>457200</xdr:colOff>
      <xdr:row>38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457200</xdr:colOff>
      <xdr:row>38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16</xdr:col>
      <xdr:colOff>0</xdr:colOff>
      <xdr:row>55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Produccion" displayName="Tabla_Produccion" ref="A1:I13" totalsRowShown="0">
  <autoFilter ref="A1:I13" xr:uid="{00000000-0009-0000-0100-000001000000}"/>
  <tableColumns count="9">
    <tableColumn id="1" xr3:uid="{00000000-0010-0000-0000-000001000000}" name="Mes"/>
    <tableColumn id="2" xr3:uid="{00000000-0010-0000-0000-000002000000}" name="Producción Plan"/>
    <tableColumn id="3" xr3:uid="{00000000-0010-0000-0000-000003000000}" name="Producción Real"/>
    <tableColumn id="4" xr3:uid="{00000000-0010-0000-0000-000004000000}" name="Scrap (%)"/>
    <tableColumn id="5" xr3:uid="{00000000-0010-0000-0000-000005000000}" name="Tiempo Muerto (h)"/>
    <tableColumn id="6" xr3:uid="{00000000-0010-0000-0000-000006000000}" name="Operadores"/>
    <tableColumn id="7" xr3:uid="{00000000-0010-0000-0000-000007000000}" name="Eficiencia (%)"/>
    <tableColumn id="8" xr3:uid="{00000000-0010-0000-0000-000008000000}" name="Cumplimiento_%"/>
    <tableColumn id="9" xr3:uid="{00000000-0010-0000-0000-000009000000}" name="Productividad_x_Oper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6.8" x14ac:dyDescent="0.4"/>
  <cols>
    <col min="1" max="1" width="12.6640625" style="1" customWidth="1"/>
    <col min="2" max="3" width="14.6640625" style="2" customWidth="1"/>
    <col min="4" max="4" width="10.6640625" style="3" customWidth="1"/>
    <col min="5" max="5" width="14.6640625" style="2" customWidth="1"/>
    <col min="6" max="6" width="12.6640625" style="2" customWidth="1"/>
    <col min="7" max="7" width="12.6640625" style="3" customWidth="1"/>
    <col min="8" max="8" width="14.6640625" style="3" customWidth="1"/>
    <col min="9" max="9" width="18.6640625" style="2" customWidth="1"/>
  </cols>
  <sheetData>
    <row r="1" spans="1:9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  <row r="2" spans="1:9" x14ac:dyDescent="0.4">
      <c r="A2" s="1" t="s">
        <v>9</v>
      </c>
      <c r="B2" s="2">
        <v>120000</v>
      </c>
      <c r="C2" s="2">
        <v>115200</v>
      </c>
      <c r="D2" s="3">
        <v>2.1</v>
      </c>
      <c r="E2" s="2">
        <v>38</v>
      </c>
      <c r="F2" s="2">
        <v>52</v>
      </c>
      <c r="G2" s="3">
        <v>96</v>
      </c>
      <c r="H2" s="3">
        <v>0.96</v>
      </c>
      <c r="I2" s="2">
        <v>2215.3846153846148</v>
      </c>
    </row>
    <row r="3" spans="1:9" x14ac:dyDescent="0.4">
      <c r="A3" s="1" t="s">
        <v>10</v>
      </c>
      <c r="B3" s="2">
        <v>118000</v>
      </c>
      <c r="C3" s="2">
        <v>112700</v>
      </c>
      <c r="D3" s="3">
        <v>2.2999999999999998</v>
      </c>
      <c r="E3" s="2">
        <v>42</v>
      </c>
      <c r="F3" s="2">
        <v>51</v>
      </c>
      <c r="G3" s="3">
        <v>95.5</v>
      </c>
      <c r="H3" s="3">
        <v>0.95508474576271185</v>
      </c>
      <c r="I3" s="2">
        <v>2209.8039215686281</v>
      </c>
    </row>
    <row r="4" spans="1:9" x14ac:dyDescent="0.4">
      <c r="A4" s="1" t="s">
        <v>11</v>
      </c>
      <c r="B4" s="2">
        <v>122000</v>
      </c>
      <c r="C4" s="2">
        <v>118900</v>
      </c>
      <c r="D4" s="3">
        <v>2</v>
      </c>
      <c r="E4" s="2">
        <v>35</v>
      </c>
      <c r="F4" s="2">
        <v>52</v>
      </c>
      <c r="G4" s="3">
        <v>97.5</v>
      </c>
      <c r="H4" s="3">
        <v>0.97459016393442621</v>
      </c>
      <c r="I4" s="2">
        <v>2286.538461538461</v>
      </c>
    </row>
    <row r="5" spans="1:9" x14ac:dyDescent="0.4">
      <c r="A5" s="1" t="s">
        <v>12</v>
      </c>
      <c r="B5" s="2">
        <v>125000</v>
      </c>
      <c r="C5" s="2">
        <v>120000</v>
      </c>
      <c r="D5" s="3">
        <v>2.4</v>
      </c>
      <c r="E5" s="2">
        <v>40</v>
      </c>
      <c r="F5" s="2">
        <v>53</v>
      </c>
      <c r="G5" s="3">
        <v>96</v>
      </c>
      <c r="H5" s="3">
        <v>0.96</v>
      </c>
      <c r="I5" s="2">
        <v>2264.150943396226</v>
      </c>
    </row>
    <row r="6" spans="1:9" x14ac:dyDescent="0.4">
      <c r="A6" s="1" t="s">
        <v>13</v>
      </c>
      <c r="B6" s="2">
        <v>128000</v>
      </c>
      <c r="C6" s="2">
        <v>124200</v>
      </c>
      <c r="D6" s="3">
        <v>2.2000000000000002</v>
      </c>
      <c r="E6" s="2">
        <v>37</v>
      </c>
      <c r="F6" s="2">
        <v>54</v>
      </c>
      <c r="G6" s="3">
        <v>97</v>
      </c>
      <c r="H6" s="3">
        <v>0.97031250000000002</v>
      </c>
      <c r="I6" s="2">
        <v>2300</v>
      </c>
    </row>
    <row r="7" spans="1:9" x14ac:dyDescent="0.4">
      <c r="A7" s="1" t="s">
        <v>14</v>
      </c>
      <c r="B7" s="2">
        <v>130000</v>
      </c>
      <c r="C7" s="2">
        <v>125350</v>
      </c>
      <c r="D7" s="3">
        <v>2.5</v>
      </c>
      <c r="E7" s="2">
        <v>45</v>
      </c>
      <c r="F7" s="2">
        <v>54</v>
      </c>
      <c r="G7" s="3">
        <v>96.5</v>
      </c>
      <c r="H7" s="3">
        <v>0.96423076923076922</v>
      </c>
      <c r="I7" s="2">
        <v>2321.2962962962961</v>
      </c>
    </row>
    <row r="8" spans="1:9" x14ac:dyDescent="0.4">
      <c r="A8" s="1" t="s">
        <v>15</v>
      </c>
      <c r="B8" s="2">
        <v>132000</v>
      </c>
      <c r="C8" s="2">
        <v>126700</v>
      </c>
      <c r="D8" s="3">
        <v>2.7</v>
      </c>
      <c r="E8" s="2">
        <v>48</v>
      </c>
      <c r="F8" s="2">
        <v>55</v>
      </c>
      <c r="G8" s="3">
        <v>96</v>
      </c>
      <c r="H8" s="3">
        <v>0.95984848484848484</v>
      </c>
      <c r="I8" s="2">
        <v>2303.636363636364</v>
      </c>
    </row>
    <row r="9" spans="1:9" x14ac:dyDescent="0.4">
      <c r="A9" s="1" t="s">
        <v>16</v>
      </c>
      <c r="B9" s="2">
        <v>135000</v>
      </c>
      <c r="C9" s="2">
        <v>129600</v>
      </c>
      <c r="D9" s="3">
        <v>2.4</v>
      </c>
      <c r="E9" s="2">
        <v>41</v>
      </c>
      <c r="F9" s="2">
        <v>55</v>
      </c>
      <c r="G9" s="3">
        <v>96</v>
      </c>
      <c r="H9" s="3">
        <v>0.96</v>
      </c>
      <c r="I9" s="2">
        <v>2356.363636363636</v>
      </c>
    </row>
    <row r="10" spans="1:9" x14ac:dyDescent="0.4">
      <c r="A10" s="1" t="s">
        <v>17</v>
      </c>
      <c r="B10" s="2">
        <v>138000</v>
      </c>
      <c r="C10" s="2">
        <v>133000</v>
      </c>
      <c r="D10" s="3">
        <v>2.2999999999999998</v>
      </c>
      <c r="E10" s="2">
        <v>39</v>
      </c>
      <c r="F10" s="2">
        <v>56</v>
      </c>
      <c r="G10" s="3">
        <v>96.4</v>
      </c>
      <c r="H10" s="3">
        <v>0.96376811594202894</v>
      </c>
      <c r="I10" s="2">
        <v>2375</v>
      </c>
    </row>
    <row r="11" spans="1:9" x14ac:dyDescent="0.4">
      <c r="A11" s="1" t="s">
        <v>18</v>
      </c>
      <c r="B11" s="2">
        <v>140000</v>
      </c>
      <c r="C11" s="2">
        <v>136500</v>
      </c>
      <c r="D11" s="3">
        <v>2.1</v>
      </c>
      <c r="E11" s="2">
        <v>36</v>
      </c>
      <c r="F11" s="2">
        <v>56</v>
      </c>
      <c r="G11" s="3">
        <v>97.5</v>
      </c>
      <c r="H11" s="3">
        <v>0.97499999999999998</v>
      </c>
      <c r="I11" s="2">
        <v>2437.5</v>
      </c>
    </row>
    <row r="12" spans="1:9" x14ac:dyDescent="0.4">
      <c r="A12" s="1" t="s">
        <v>19</v>
      </c>
      <c r="B12" s="2">
        <v>142000</v>
      </c>
      <c r="C12" s="2">
        <v>137200</v>
      </c>
      <c r="D12" s="3">
        <v>2.4</v>
      </c>
      <c r="E12" s="2">
        <v>43</v>
      </c>
      <c r="F12" s="2">
        <v>57</v>
      </c>
      <c r="G12" s="3">
        <v>96.6</v>
      </c>
      <c r="H12" s="3">
        <v>0.96619718309859159</v>
      </c>
      <c r="I12" s="2">
        <v>2407.0175438596489</v>
      </c>
    </row>
    <row r="13" spans="1:9" x14ac:dyDescent="0.4">
      <c r="A13" s="1" t="s">
        <v>20</v>
      </c>
      <c r="B13" s="2">
        <v>145000</v>
      </c>
      <c r="C13" s="2">
        <v>140600</v>
      </c>
      <c r="D13" s="3">
        <v>2.2000000000000002</v>
      </c>
      <c r="E13" s="2">
        <v>40</v>
      </c>
      <c r="F13" s="2">
        <v>57</v>
      </c>
      <c r="G13" s="3">
        <v>96.9</v>
      </c>
      <c r="H13" s="3">
        <v>0.96965517241379307</v>
      </c>
      <c r="I13" s="2">
        <v>2466.666666666667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9"/>
  <sheetViews>
    <sheetView workbookViewId="0"/>
  </sheetViews>
  <sheetFormatPr defaultRowHeight="14.4" x14ac:dyDescent="0.3"/>
  <cols>
    <col min="2" max="2" width="30" bestFit="1" customWidth="1"/>
    <col min="3" max="3" width="11.6640625" bestFit="1" customWidth="1"/>
  </cols>
  <sheetData>
    <row r="2" spans="2:3" ht="19.2" x14ac:dyDescent="0.45">
      <c r="B2" s="4" t="s">
        <v>21</v>
      </c>
    </row>
    <row r="4" spans="2:3" ht="20.399999999999999" x14ac:dyDescent="0.45">
      <c r="B4" s="1" t="s">
        <v>22</v>
      </c>
      <c r="C4" s="5" t="e">
        <f ca="1">PROMEDIO(Tabla_Produccion[Cumplimiento_%])</f>
        <v>#NAME?</v>
      </c>
    </row>
    <row r="5" spans="2:3" ht="20.399999999999999" x14ac:dyDescent="0.45">
      <c r="B5" s="1" t="s">
        <v>23</v>
      </c>
      <c r="C5" s="5" t="e">
        <f ca="1">PROMEDIO(Tabla_Produccion[Productividad_x_Operador])</f>
        <v>#NAME?</v>
      </c>
    </row>
    <row r="6" spans="2:3" ht="20.399999999999999" x14ac:dyDescent="0.45">
      <c r="B6" s="1" t="s">
        <v>24</v>
      </c>
      <c r="C6" s="5" t="e">
        <f ca="1">PROMEDIO(Tabla_Produccion[Scrap (%)])</f>
        <v>#NAME?</v>
      </c>
    </row>
    <row r="7" spans="2:3" ht="20.399999999999999" x14ac:dyDescent="0.45">
      <c r="B7" s="1" t="s">
        <v>25</v>
      </c>
      <c r="C7" s="5" t="e">
        <f ca="1">PROMEDIO(Tabla_Produccion[Eficiencia (%)])</f>
        <v>#NAME?</v>
      </c>
    </row>
    <row r="8" spans="2:3" ht="20.399999999999999" x14ac:dyDescent="0.45">
      <c r="B8" s="1" t="s">
        <v>26</v>
      </c>
      <c r="C8" s="5" t="e">
        <f ca="1">SUMA(Tabla_Produccion[Tiempo Muerto (h)])</f>
        <v>#NAME?</v>
      </c>
    </row>
    <row r="9" spans="2:3" ht="20.399999999999999" x14ac:dyDescent="0.45">
      <c r="B9" s="1" t="s">
        <v>27</v>
      </c>
      <c r="C9" s="5" t="e">
        <f ca="1">SUMA(Tabla_Produccion[Producción Real])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62"/>
  <sheetViews>
    <sheetView tabSelected="1" topLeftCell="A11" workbookViewId="0">
      <selection activeCell="B4" sqref="B4:C6"/>
    </sheetView>
  </sheetViews>
  <sheetFormatPr defaultRowHeight="14.4" x14ac:dyDescent="0.3"/>
  <cols>
    <col min="2" max="2" width="21.33203125" bestFit="1" customWidth="1"/>
    <col min="6" max="6" width="8.88671875" customWidth="1"/>
  </cols>
  <sheetData>
    <row r="1" spans="2:11" ht="24.6" x14ac:dyDescent="0.3">
      <c r="B1" s="8" t="s">
        <v>28</v>
      </c>
      <c r="C1" s="8"/>
      <c r="D1" s="8"/>
      <c r="E1" s="8"/>
      <c r="F1" s="8"/>
      <c r="G1" s="8"/>
      <c r="H1" s="8"/>
      <c r="I1" s="8"/>
      <c r="J1" s="8"/>
      <c r="K1" s="8"/>
    </row>
    <row r="3" spans="2:11" ht="16.8" x14ac:dyDescent="0.3">
      <c r="B3" s="9" t="s">
        <v>29</v>
      </c>
      <c r="C3" s="9"/>
      <c r="D3" s="9" t="s">
        <v>6</v>
      </c>
      <c r="E3" s="9"/>
      <c r="F3" s="9" t="s">
        <v>30</v>
      </c>
      <c r="G3" s="9"/>
      <c r="H3" s="9" t="s">
        <v>31</v>
      </c>
      <c r="I3" s="9"/>
      <c r="J3" s="9" t="s">
        <v>32</v>
      </c>
      <c r="K3" s="9"/>
    </row>
    <row r="4" spans="2:11" x14ac:dyDescent="0.3">
      <c r="B4" s="10" t="e">
        <f ca="1">Cálculos!C4</f>
        <v>#NAME?</v>
      </c>
      <c r="C4" s="10"/>
      <c r="D4" s="10" t="e">
        <f ca="1">Cálculos!C7</f>
        <v>#NAME?</v>
      </c>
      <c r="E4" s="10"/>
      <c r="F4" s="10" t="e">
        <f ca="1">Cálculos!C6</f>
        <v>#NAME?</v>
      </c>
      <c r="G4" s="10"/>
      <c r="H4" s="10" t="e">
        <f ca="1">Cálculos!C5</f>
        <v>#NAME?</v>
      </c>
      <c r="I4" s="10"/>
      <c r="J4" s="10" t="e">
        <f ca="1">Cálculos!C9</f>
        <v>#NAME?</v>
      </c>
      <c r="K4" s="10"/>
    </row>
    <row r="5" spans="2:1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x14ac:dyDescent="0.3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1" ht="16.8" x14ac:dyDescent="0.3">
      <c r="B7" s="6"/>
      <c r="C7" s="6"/>
      <c r="D7" s="6"/>
      <c r="E7" s="6"/>
      <c r="F7" s="6"/>
      <c r="G7" s="6"/>
      <c r="H7" s="6"/>
      <c r="I7" s="6"/>
      <c r="J7" s="6"/>
      <c r="K7" s="6"/>
    </row>
    <row r="52" spans="2:2" ht="19.2" x14ac:dyDescent="0.45">
      <c r="B52" s="4" t="s">
        <v>33</v>
      </c>
    </row>
    <row r="54" spans="2:2" ht="105" x14ac:dyDescent="0.35">
      <c r="B54" s="7" t="s">
        <v>34</v>
      </c>
    </row>
    <row r="56" spans="2:2" ht="105" x14ac:dyDescent="0.35">
      <c r="B56" s="7" t="s">
        <v>35</v>
      </c>
    </row>
    <row r="58" spans="2:2" ht="120" x14ac:dyDescent="0.35">
      <c r="B58" s="7" t="s">
        <v>36</v>
      </c>
    </row>
    <row r="60" spans="2:2" ht="105" x14ac:dyDescent="0.35">
      <c r="B60" s="7" t="s">
        <v>37</v>
      </c>
    </row>
    <row r="62" spans="2:2" ht="90" x14ac:dyDescent="0.35">
      <c r="B62" s="7" t="s">
        <v>38</v>
      </c>
    </row>
  </sheetData>
  <mergeCells count="11">
    <mergeCell ref="B1:K1"/>
    <mergeCell ref="B3:C3"/>
    <mergeCell ref="B4:C6"/>
    <mergeCell ref="D3:E3"/>
    <mergeCell ref="D4:E6"/>
    <mergeCell ref="F3:G3"/>
    <mergeCell ref="F4:G6"/>
    <mergeCell ref="H3:I3"/>
    <mergeCell ref="H4:I6"/>
    <mergeCell ref="J3:K3"/>
    <mergeCell ref="J4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Huacuja Landa</cp:lastModifiedBy>
  <dcterms:created xsi:type="dcterms:W3CDTF">2026-06-08T23:52:34Z</dcterms:created>
  <dcterms:modified xsi:type="dcterms:W3CDTF">2026-06-09T00:47:48Z</dcterms:modified>
</cp:coreProperties>
</file>