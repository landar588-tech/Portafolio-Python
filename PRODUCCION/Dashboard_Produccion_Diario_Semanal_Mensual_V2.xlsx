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yectos\GitHub\Portafolio-Python\PRODUCCION\"/>
    </mc:Choice>
  </mc:AlternateContent>
  <xr:revisionPtr revIDLastSave="0" documentId="13_ncr:1_{17F9EA53-821F-4151-8ABC-00E1C0475919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Datos_Diarios" sheetId="1" r:id="rId1"/>
    <sheet name="Resumen" sheetId="2" r:id="rId2"/>
    <sheet name="Dashboar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3" l="1"/>
  <c r="J4" i="3"/>
  <c r="H4" i="3"/>
  <c r="F4" i="3"/>
  <c r="D4" i="3"/>
  <c r="B4" i="3"/>
</calcChain>
</file>

<file path=xl/sharedStrings.xml><?xml version="1.0" encoding="utf-8"?>
<sst xmlns="http://schemas.openxmlformats.org/spreadsheetml/2006/main" count="255" uniqueCount="44">
  <si>
    <t>Fecha</t>
  </si>
  <si>
    <t>Día</t>
  </si>
  <si>
    <t>Semana</t>
  </si>
  <si>
    <t>Mes</t>
  </si>
  <si>
    <t>Turno</t>
  </si>
  <si>
    <t>Línea</t>
  </si>
  <si>
    <t>Producción Plan</t>
  </si>
  <si>
    <t>Producción Real</t>
  </si>
  <si>
    <t>Scrap (%)</t>
  </si>
  <si>
    <t>Tiempo Muerto (h)</t>
  </si>
  <si>
    <t>Operadores</t>
  </si>
  <si>
    <t>Eficiencia (%)</t>
  </si>
  <si>
    <t>Cumplimiento (%)</t>
  </si>
  <si>
    <t>Productividad por Operador</t>
  </si>
  <si>
    <t>Producción Acumulada</t>
  </si>
  <si>
    <t>Scrap Acumulado (%)</t>
  </si>
  <si>
    <t>Viernes</t>
  </si>
  <si>
    <t>Sábado</t>
  </si>
  <si>
    <t>Domingo</t>
  </si>
  <si>
    <t>Lunes</t>
  </si>
  <si>
    <t>Martes</t>
  </si>
  <si>
    <t>Miércoles</t>
  </si>
  <si>
    <t>Jueves</t>
  </si>
  <si>
    <t>mayo</t>
  </si>
  <si>
    <t>L1</t>
  </si>
  <si>
    <t>L2</t>
  </si>
  <si>
    <t>Resumen Diario</t>
  </si>
  <si>
    <t>Resumen Semanal</t>
  </si>
  <si>
    <t>Resumen Mensual</t>
  </si>
  <si>
    <t>Dashboard de Producción Diario / Semanal / Mensual</t>
  </si>
  <si>
    <t>Producción Total</t>
  </si>
  <si>
    <t>Cumplimiento del Plan</t>
  </si>
  <si>
    <t>Eficiencia</t>
  </si>
  <si>
    <t>Scrap</t>
  </si>
  <si>
    <t>Comparativo por Turno</t>
  </si>
  <si>
    <t>Comparativo por Línea</t>
  </si>
  <si>
    <t>Insights Ejecutivos</t>
  </si>
  <si>
    <t>Mejor semana por cumplimiento:</t>
  </si>
  <si>
    <t>Semana 22</t>
  </si>
  <si>
    <t>Día con mayor producción:</t>
  </si>
  <si>
    <t>Día con mayor scrap:</t>
  </si>
  <si>
    <t>Día con menor eficiencia:</t>
  </si>
  <si>
    <t>Línea con mayor tiempo muerto:</t>
  </si>
  <si>
    <t>Turno con mejor cumplimiento: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</si>
</sst>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6E6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3" fontId="0" fillId="0" borderId="0" xfId="0" applyNumberFormat="1"/>
    <xf numFmtId="10" fontId="0" fillId="0" borderId="0" xfId="0" applyNumberFormat="1"/>
    <xf numFmtId="0" fontId="1" fillId="2" borderId="1" xfId="0" applyFont="1" applyFill="1" applyBorder="1"/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0" fontId="5" fillId="0" borderId="1" xfId="0" applyFont="1" applyBorder="1"/>
  </cellXfs>
  <cellStyles count="1">
    <cellStyle name="Normal" xfId="0" builtinId="0"/>
  </cellStyles>
  <dxfs count="9">
    <dxf>
      <font>
        <color rgb="FF9C0006"/>
      </font>
      <fill>
        <patternFill>
          <bgColor rgb="FFF8CBAD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8CBAD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8CBAD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Producción diaria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Producción Real diaria</c:v>
          </c:tx>
          <c:spPr>
            <a:solidFill>
              <a:srgbClr val="4472C4"/>
            </a:solidFill>
            <a:ln>
              <a:solidFill>
                <a:srgbClr val="4472C4"/>
              </a:solidFill>
            </a:ln>
          </c:spPr>
          <c:invertIfNegative val="0"/>
          <c:cat>
            <c:numRef>
              <c:f>Resumen!$A$3:$A$32</c:f>
              <c:numCache>
                <c:formatCode>dd/mm/yyyy</c:formatCode>
                <c:ptCount val="30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  <c:pt idx="28">
                  <c:v>46171</c:v>
                </c:pt>
                <c:pt idx="29">
                  <c:v>46172</c:v>
                </c:pt>
              </c:numCache>
            </c:numRef>
          </c:cat>
          <c:val>
            <c:numRef>
              <c:f>Resumen!$B$3:$B$32</c:f>
              <c:numCache>
                <c:formatCode>#,##0</c:formatCode>
                <c:ptCount val="30"/>
                <c:pt idx="0">
                  <c:v>4062</c:v>
                </c:pt>
                <c:pt idx="1">
                  <c:v>4140</c:v>
                </c:pt>
                <c:pt idx="2">
                  <c:v>4066</c:v>
                </c:pt>
                <c:pt idx="3">
                  <c:v>4003</c:v>
                </c:pt>
                <c:pt idx="4">
                  <c:v>4075</c:v>
                </c:pt>
                <c:pt idx="5">
                  <c:v>4044</c:v>
                </c:pt>
                <c:pt idx="6">
                  <c:v>4136</c:v>
                </c:pt>
                <c:pt idx="7">
                  <c:v>4088</c:v>
                </c:pt>
                <c:pt idx="8">
                  <c:v>4092</c:v>
                </c:pt>
                <c:pt idx="9">
                  <c:v>4123</c:v>
                </c:pt>
                <c:pt idx="10">
                  <c:v>4089</c:v>
                </c:pt>
                <c:pt idx="11">
                  <c:v>4036</c:v>
                </c:pt>
                <c:pt idx="12">
                  <c:v>4079</c:v>
                </c:pt>
                <c:pt idx="13">
                  <c:v>4060</c:v>
                </c:pt>
                <c:pt idx="14">
                  <c:v>4043</c:v>
                </c:pt>
                <c:pt idx="15">
                  <c:v>3996</c:v>
                </c:pt>
                <c:pt idx="16">
                  <c:v>4085</c:v>
                </c:pt>
                <c:pt idx="17">
                  <c:v>4018</c:v>
                </c:pt>
                <c:pt idx="18">
                  <c:v>4033</c:v>
                </c:pt>
                <c:pt idx="19">
                  <c:v>4075</c:v>
                </c:pt>
                <c:pt idx="20">
                  <c:v>4098</c:v>
                </c:pt>
                <c:pt idx="21">
                  <c:v>4095</c:v>
                </c:pt>
                <c:pt idx="22">
                  <c:v>3993</c:v>
                </c:pt>
                <c:pt idx="23">
                  <c:v>4100</c:v>
                </c:pt>
                <c:pt idx="24">
                  <c:v>4165</c:v>
                </c:pt>
                <c:pt idx="25">
                  <c:v>4145</c:v>
                </c:pt>
                <c:pt idx="26">
                  <c:v>4128</c:v>
                </c:pt>
                <c:pt idx="27">
                  <c:v>4042</c:v>
                </c:pt>
                <c:pt idx="28">
                  <c:v>4131</c:v>
                </c:pt>
                <c:pt idx="29">
                  <c:v>4104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18-43D4-8124-F0A09D3D5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date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overlay val="0"/>
        </c:title>
        <c:numFmt formatCode="dd/mm/yyyy" sourceLinked="1"/>
        <c:majorTickMark val="out"/>
        <c:minorTickMark val="none"/>
        <c:tickLblPos val="nextTo"/>
        <c:crossAx val="50010002"/>
        <c:crosses val="autoZero"/>
        <c:auto val="1"/>
        <c:lblOffset val="100"/>
        <c:baseTimeUnit val="days"/>
      </c:date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Piezas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Producción semanal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Producción Real semanal</c:v>
          </c:tx>
          <c:spPr>
            <a:solidFill>
              <a:srgbClr val="5B9BD5"/>
            </a:solidFill>
            <a:ln>
              <a:solidFill>
                <a:srgbClr val="5B9BD5"/>
              </a:solidFill>
            </a:ln>
          </c:spPr>
          <c:invertIfNegative val="0"/>
          <c:cat>
            <c:numRef>
              <c:f>Resumen!$A$37:$A$41</c:f>
              <c:numCache>
                <c:formatCode>#,##0</c:formatCode>
                <c:ptCount val="5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</c:numCache>
            </c:numRef>
          </c:cat>
          <c:val>
            <c:numRef>
              <c:f>Resumen!$B$37:$B$41</c:f>
              <c:numCache>
                <c:formatCode>#,##0</c:formatCode>
                <c:ptCount val="5"/>
                <c:pt idx="0">
                  <c:v>12268</c:v>
                </c:pt>
                <c:pt idx="1">
                  <c:v>28561</c:v>
                </c:pt>
                <c:pt idx="2">
                  <c:v>28388</c:v>
                </c:pt>
                <c:pt idx="3">
                  <c:v>28412</c:v>
                </c:pt>
                <c:pt idx="4">
                  <c:v>24715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2A-4777-AB3C-A4DF21DB01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cat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Semana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Piezas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Producción mensual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Producción Real mensual</c:v>
          </c:tx>
          <c:spPr>
            <a:solidFill>
              <a:srgbClr val="A5A5A5"/>
            </a:solidFill>
            <a:ln>
              <a:solidFill>
                <a:srgbClr val="A5A5A5"/>
              </a:solidFill>
            </a:ln>
          </c:spPr>
          <c:invertIfNegative val="0"/>
          <c:cat>
            <c:strRef>
              <c:f>Resumen!$A$47</c:f>
              <c:strCache>
                <c:ptCount val="1"/>
                <c:pt idx="0">
                  <c:v>mayo</c:v>
                </c:pt>
              </c:strCache>
            </c:strRef>
          </c:cat>
          <c:val>
            <c:numRef>
              <c:f>Resumen!$B$47</c:f>
              <c:numCache>
                <c:formatCode>#,##0</c:formatCode>
                <c:ptCount val="1"/>
                <c:pt idx="0">
                  <c:v>122344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27-4DE6-8E9A-8A99D6026D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30001"/>
        <c:axId val="50030002"/>
      </c:barChart>
      <c:catAx>
        <c:axId val="500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Piezas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5003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Tendencia de eficiencia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Eficiencia diaria</c:v>
          </c:tx>
          <c:spPr>
            <a:ln>
              <a:solidFill>
                <a:srgbClr val="4472C4"/>
              </a:solidFill>
            </a:ln>
          </c:spPr>
          <c:marker>
            <c:symbol val="none"/>
          </c:marker>
          <c:cat>
            <c:numRef>
              <c:f>Resumen!$A$3:$A$32</c:f>
              <c:numCache>
                <c:formatCode>dd/mm/yyyy</c:formatCode>
                <c:ptCount val="30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  <c:pt idx="28">
                  <c:v>46171</c:v>
                </c:pt>
                <c:pt idx="29">
                  <c:v>46172</c:v>
                </c:pt>
              </c:numCache>
            </c:numRef>
          </c:cat>
          <c:val>
            <c:numRef>
              <c:f>Resumen!$F$3:$F$32</c:f>
              <c:numCache>
                <c:formatCode>0.00%</c:formatCode>
                <c:ptCount val="30"/>
                <c:pt idx="0">
                  <c:v>0.97799999999999998</c:v>
                </c:pt>
                <c:pt idx="1">
                  <c:v>0.98</c:v>
                </c:pt>
                <c:pt idx="2">
                  <c:v>0.97</c:v>
                </c:pt>
                <c:pt idx="3">
                  <c:v>0.96199999999999997</c:v>
                </c:pt>
                <c:pt idx="4">
                  <c:v>0.97599999999999998</c:v>
                </c:pt>
                <c:pt idx="5">
                  <c:v>0.97750000000000004</c:v>
                </c:pt>
                <c:pt idx="6">
                  <c:v>0.97399999999999998</c:v>
                </c:pt>
                <c:pt idx="7">
                  <c:v>0.97649999999999992</c:v>
                </c:pt>
                <c:pt idx="8">
                  <c:v>0.95099999999999996</c:v>
                </c:pt>
                <c:pt idx="9">
                  <c:v>0.97399999999999998</c:v>
                </c:pt>
                <c:pt idx="10">
                  <c:v>0.97049999999999992</c:v>
                </c:pt>
                <c:pt idx="11">
                  <c:v>0.97049999999999992</c:v>
                </c:pt>
                <c:pt idx="12">
                  <c:v>0.95550000000000002</c:v>
                </c:pt>
                <c:pt idx="13">
                  <c:v>0.96950000000000003</c:v>
                </c:pt>
                <c:pt idx="14">
                  <c:v>0.96950000000000003</c:v>
                </c:pt>
                <c:pt idx="15">
                  <c:v>0.96899999999999997</c:v>
                </c:pt>
                <c:pt idx="16">
                  <c:v>0.98350000000000004</c:v>
                </c:pt>
                <c:pt idx="17">
                  <c:v>0.98499999999999999</c:v>
                </c:pt>
                <c:pt idx="18">
                  <c:v>0.96350000000000002</c:v>
                </c:pt>
                <c:pt idx="19">
                  <c:v>0.97799999999999998</c:v>
                </c:pt>
                <c:pt idx="20">
                  <c:v>0.96</c:v>
                </c:pt>
                <c:pt idx="21">
                  <c:v>0.96399999999999997</c:v>
                </c:pt>
                <c:pt idx="22">
                  <c:v>0.98399999999999999</c:v>
                </c:pt>
                <c:pt idx="23">
                  <c:v>0.97150000000000003</c:v>
                </c:pt>
                <c:pt idx="24">
                  <c:v>0.96899999999999997</c:v>
                </c:pt>
                <c:pt idx="25">
                  <c:v>0.95849999999999991</c:v>
                </c:pt>
                <c:pt idx="26">
                  <c:v>0.98399999999999999</c:v>
                </c:pt>
                <c:pt idx="27">
                  <c:v>0.97150000000000003</c:v>
                </c:pt>
                <c:pt idx="28">
                  <c:v>0.96950000000000003</c:v>
                </c:pt>
                <c:pt idx="29">
                  <c:v>0.95750000000000002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C-4FEB-94F6-D6366C1807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40001"/>
        <c:axId val="50040002"/>
      </c:lineChart>
      <c:dateAx>
        <c:axId val="50040001"/>
        <c:scaling>
          <c:orientation val="minMax"/>
        </c:scaling>
        <c:delete val="0"/>
        <c:axPos val="b"/>
        <c:numFmt formatCode="dd/mm/yyyy" sourceLinked="1"/>
        <c:majorTickMark val="out"/>
        <c:minorTickMark val="none"/>
        <c:tickLblPos val="nextTo"/>
        <c:crossAx val="50040002"/>
        <c:crosses val="autoZero"/>
        <c:auto val="1"/>
        <c:lblOffset val="100"/>
        <c:baseTimeUnit val="days"/>
      </c:dateAx>
      <c:valAx>
        <c:axId val="50040002"/>
        <c:scaling>
          <c:orientation val="minMax"/>
        </c:scaling>
        <c:delete val="0"/>
        <c:axPos val="l"/>
        <c:majorGridlines/>
        <c:numFmt formatCode="0.00%" sourceLinked="0"/>
        <c:majorTickMark val="out"/>
        <c:minorTickMark val="none"/>
        <c:tickLblPos val="nextTo"/>
        <c:crossAx val="5004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Tendencia de scrap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Scrap diario</c:v>
          </c:tx>
          <c:spPr>
            <a:ln>
              <a:solidFill>
                <a:srgbClr val="A5A5A5"/>
              </a:solidFill>
            </a:ln>
          </c:spPr>
          <c:marker>
            <c:symbol val="none"/>
          </c:marker>
          <c:cat>
            <c:numRef>
              <c:f>Resumen!$A$3:$A$32</c:f>
              <c:numCache>
                <c:formatCode>dd/mm/yyyy</c:formatCode>
                <c:ptCount val="30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  <c:pt idx="28">
                  <c:v>46171</c:v>
                </c:pt>
                <c:pt idx="29">
                  <c:v>46172</c:v>
                </c:pt>
              </c:numCache>
            </c:numRef>
          </c:cat>
          <c:val>
            <c:numRef>
              <c:f>Resumen!$E$3:$E$32</c:f>
              <c:numCache>
                <c:formatCode>0.00%</c:formatCode>
                <c:ptCount val="30"/>
                <c:pt idx="0">
                  <c:v>2.4E-2</c:v>
                </c:pt>
                <c:pt idx="1">
                  <c:v>2.2499999999999999E-2</c:v>
                </c:pt>
                <c:pt idx="2">
                  <c:v>2.3E-2</c:v>
                </c:pt>
                <c:pt idx="3">
                  <c:v>2.5499999999999998E-2</c:v>
                </c:pt>
                <c:pt idx="4">
                  <c:v>2.2499999999999999E-2</c:v>
                </c:pt>
                <c:pt idx="5">
                  <c:v>2.3E-2</c:v>
                </c:pt>
                <c:pt idx="6">
                  <c:v>2.4E-2</c:v>
                </c:pt>
                <c:pt idx="7">
                  <c:v>2.2499999999999999E-2</c:v>
                </c:pt>
                <c:pt idx="8">
                  <c:v>2.3E-2</c:v>
                </c:pt>
                <c:pt idx="9">
                  <c:v>2.5999999999999999E-2</c:v>
                </c:pt>
                <c:pt idx="10">
                  <c:v>2.4E-2</c:v>
                </c:pt>
                <c:pt idx="11">
                  <c:v>2.35E-2</c:v>
                </c:pt>
                <c:pt idx="12">
                  <c:v>2.5000000000000001E-2</c:v>
                </c:pt>
                <c:pt idx="13">
                  <c:v>2.4E-2</c:v>
                </c:pt>
                <c:pt idx="14">
                  <c:v>2.35E-2</c:v>
                </c:pt>
                <c:pt idx="15">
                  <c:v>2.4500000000000001E-2</c:v>
                </c:pt>
                <c:pt idx="16">
                  <c:v>2.4E-2</c:v>
                </c:pt>
                <c:pt idx="17">
                  <c:v>2.2499999999999999E-2</c:v>
                </c:pt>
                <c:pt idx="18">
                  <c:v>2.0500000000000001E-2</c:v>
                </c:pt>
                <c:pt idx="19">
                  <c:v>2.4500000000000001E-2</c:v>
                </c:pt>
                <c:pt idx="20">
                  <c:v>2.35E-2</c:v>
                </c:pt>
                <c:pt idx="21">
                  <c:v>2.5000000000000001E-2</c:v>
                </c:pt>
                <c:pt idx="22">
                  <c:v>2.4500000000000001E-2</c:v>
                </c:pt>
                <c:pt idx="23">
                  <c:v>2.5000000000000001E-2</c:v>
                </c:pt>
                <c:pt idx="24">
                  <c:v>2.1499999999999998E-2</c:v>
                </c:pt>
                <c:pt idx="25">
                  <c:v>2.5499999999999998E-2</c:v>
                </c:pt>
                <c:pt idx="26">
                  <c:v>2.5000000000000001E-2</c:v>
                </c:pt>
                <c:pt idx="27">
                  <c:v>2.1499999999999998E-2</c:v>
                </c:pt>
                <c:pt idx="28">
                  <c:v>2.1999999999999999E-2</c:v>
                </c:pt>
                <c:pt idx="29">
                  <c:v>2.1999999999999999E-2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DF-4511-B078-B654D79E5D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50001"/>
        <c:axId val="50050002"/>
      </c:lineChart>
      <c:dateAx>
        <c:axId val="50050001"/>
        <c:scaling>
          <c:orientation val="minMax"/>
        </c:scaling>
        <c:delete val="0"/>
        <c:axPos val="b"/>
        <c:numFmt formatCode="dd/mm/yyyy" sourceLinked="1"/>
        <c:majorTickMark val="out"/>
        <c:minorTickMark val="none"/>
        <c:tickLblPos val="nextTo"/>
        <c:crossAx val="50050002"/>
        <c:crosses val="autoZero"/>
        <c:auto val="1"/>
        <c:lblOffset val="100"/>
        <c:baseTimeUnit val="days"/>
      </c:dateAx>
      <c:valAx>
        <c:axId val="50050002"/>
        <c:scaling>
          <c:orientation val="minMax"/>
        </c:scaling>
        <c:delete val="0"/>
        <c:axPos val="l"/>
        <c:majorGridlines/>
        <c:numFmt formatCode="0.00%" sourceLinked="0"/>
        <c:majorTickMark val="out"/>
        <c:minorTickMark val="none"/>
        <c:tickLblPos val="nextTo"/>
        <c:crossAx val="5005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Tiempo muerto vs eficiencia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Tiempo muerto vs eficiencia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Resumen!$G$3:$G$32</c:f>
              <c:numCache>
                <c:formatCode>#,##0</c:formatCode>
                <c:ptCount val="30"/>
                <c:pt idx="0">
                  <c:v>1.2</c:v>
                </c:pt>
                <c:pt idx="1">
                  <c:v>1.9</c:v>
                </c:pt>
                <c:pt idx="2">
                  <c:v>1</c:v>
                </c:pt>
                <c:pt idx="3">
                  <c:v>1.8</c:v>
                </c:pt>
                <c:pt idx="4">
                  <c:v>2</c:v>
                </c:pt>
                <c:pt idx="5">
                  <c:v>2</c:v>
                </c:pt>
                <c:pt idx="6">
                  <c:v>1.5</c:v>
                </c:pt>
                <c:pt idx="7">
                  <c:v>1.6</c:v>
                </c:pt>
                <c:pt idx="8">
                  <c:v>2</c:v>
                </c:pt>
                <c:pt idx="9">
                  <c:v>1.2</c:v>
                </c:pt>
                <c:pt idx="10">
                  <c:v>1.8</c:v>
                </c:pt>
                <c:pt idx="11">
                  <c:v>1.8</c:v>
                </c:pt>
                <c:pt idx="12">
                  <c:v>2.2000000000000002</c:v>
                </c:pt>
                <c:pt idx="13">
                  <c:v>1.9</c:v>
                </c:pt>
                <c:pt idx="14">
                  <c:v>2.1</c:v>
                </c:pt>
                <c:pt idx="15">
                  <c:v>1.8</c:v>
                </c:pt>
                <c:pt idx="16">
                  <c:v>1.7</c:v>
                </c:pt>
                <c:pt idx="17">
                  <c:v>1.6</c:v>
                </c:pt>
                <c:pt idx="18">
                  <c:v>1.1000000000000001</c:v>
                </c:pt>
                <c:pt idx="19">
                  <c:v>1.9</c:v>
                </c:pt>
                <c:pt idx="20">
                  <c:v>1.7</c:v>
                </c:pt>
                <c:pt idx="21">
                  <c:v>1.8</c:v>
                </c:pt>
                <c:pt idx="22">
                  <c:v>2</c:v>
                </c:pt>
                <c:pt idx="23">
                  <c:v>1.9</c:v>
                </c:pt>
                <c:pt idx="24">
                  <c:v>1.7</c:v>
                </c:pt>
                <c:pt idx="25">
                  <c:v>2</c:v>
                </c:pt>
                <c:pt idx="26">
                  <c:v>1.8</c:v>
                </c:pt>
                <c:pt idx="27">
                  <c:v>1.6</c:v>
                </c:pt>
                <c:pt idx="28">
                  <c:v>1.6</c:v>
                </c:pt>
                <c:pt idx="29">
                  <c:v>1.8</c:v>
                </c:pt>
              </c:numCache>
            </c:numRef>
          </c:xVal>
          <c:yVal>
            <c:numRef>
              <c:f>Resumen!$F$3:$F$32</c:f>
              <c:numCache>
                <c:formatCode>0.00%</c:formatCode>
                <c:ptCount val="30"/>
                <c:pt idx="0">
                  <c:v>0.97799999999999998</c:v>
                </c:pt>
                <c:pt idx="1">
                  <c:v>0.98</c:v>
                </c:pt>
                <c:pt idx="2">
                  <c:v>0.97</c:v>
                </c:pt>
                <c:pt idx="3">
                  <c:v>0.96199999999999997</c:v>
                </c:pt>
                <c:pt idx="4">
                  <c:v>0.97599999999999998</c:v>
                </c:pt>
                <c:pt idx="5">
                  <c:v>0.97750000000000004</c:v>
                </c:pt>
                <c:pt idx="6">
                  <c:v>0.97399999999999998</c:v>
                </c:pt>
                <c:pt idx="7">
                  <c:v>0.97649999999999992</c:v>
                </c:pt>
                <c:pt idx="8">
                  <c:v>0.95099999999999996</c:v>
                </c:pt>
                <c:pt idx="9">
                  <c:v>0.97399999999999998</c:v>
                </c:pt>
                <c:pt idx="10">
                  <c:v>0.97049999999999992</c:v>
                </c:pt>
                <c:pt idx="11">
                  <c:v>0.97049999999999992</c:v>
                </c:pt>
                <c:pt idx="12">
                  <c:v>0.95550000000000002</c:v>
                </c:pt>
                <c:pt idx="13">
                  <c:v>0.96950000000000003</c:v>
                </c:pt>
                <c:pt idx="14">
                  <c:v>0.96950000000000003</c:v>
                </c:pt>
                <c:pt idx="15">
                  <c:v>0.96899999999999997</c:v>
                </c:pt>
                <c:pt idx="16">
                  <c:v>0.98350000000000004</c:v>
                </c:pt>
                <c:pt idx="17">
                  <c:v>0.98499999999999999</c:v>
                </c:pt>
                <c:pt idx="18">
                  <c:v>0.96350000000000002</c:v>
                </c:pt>
                <c:pt idx="19">
                  <c:v>0.97799999999999998</c:v>
                </c:pt>
                <c:pt idx="20">
                  <c:v>0.96</c:v>
                </c:pt>
                <c:pt idx="21">
                  <c:v>0.96399999999999997</c:v>
                </c:pt>
                <c:pt idx="22">
                  <c:v>0.98399999999999999</c:v>
                </c:pt>
                <c:pt idx="23">
                  <c:v>0.97150000000000003</c:v>
                </c:pt>
                <c:pt idx="24">
                  <c:v>0.96899999999999997</c:v>
                </c:pt>
                <c:pt idx="25">
                  <c:v>0.95849999999999991</c:v>
                </c:pt>
                <c:pt idx="26">
                  <c:v>0.98399999999999999</c:v>
                </c:pt>
                <c:pt idx="27">
                  <c:v>0.97150000000000003</c:v>
                </c:pt>
                <c:pt idx="28">
                  <c:v>0.96950000000000003</c:v>
                </c:pt>
                <c:pt idx="29">
                  <c:v>0.95750000000000002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07-4B45-9A05-468EAF9042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60001"/>
        <c:axId val="50060002"/>
      </c:scatterChart>
      <c:valAx>
        <c:axId val="5006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Tiempo Muerto (h)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50060002"/>
        <c:crosses val="autoZero"/>
        <c:crossBetween val="midCat"/>
      </c:valAx>
      <c:valAx>
        <c:axId val="5006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Eficiencia (%)</a:t>
                </a:r>
              </a:p>
            </c:rich>
          </c:tx>
          <c:overlay val="0"/>
        </c:title>
        <c:numFmt formatCode="0.00%" sourceLinked="0"/>
        <c:majorTickMark val="out"/>
        <c:minorTickMark val="none"/>
        <c:tickLblPos val="nextTo"/>
        <c:crossAx val="5006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17</xdr:row>
      <xdr:rowOff>0</xdr:rowOff>
    </xdr:from>
    <xdr:to>
      <xdr:col>6</xdr:col>
      <xdr:colOff>828675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17</xdr:row>
      <xdr:rowOff>0</xdr:rowOff>
    </xdr:from>
    <xdr:to>
      <xdr:col>12</xdr:col>
      <xdr:colOff>828675</xdr:colOff>
      <xdr:row>34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33</xdr:row>
      <xdr:rowOff>0</xdr:rowOff>
    </xdr:from>
    <xdr:to>
      <xdr:col>6</xdr:col>
      <xdr:colOff>828675</xdr:colOff>
      <xdr:row>50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33</xdr:row>
      <xdr:rowOff>0</xdr:rowOff>
    </xdr:from>
    <xdr:to>
      <xdr:col>12</xdr:col>
      <xdr:colOff>828675</xdr:colOff>
      <xdr:row>50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49</xdr:row>
      <xdr:rowOff>0</xdr:rowOff>
    </xdr:from>
    <xdr:to>
      <xdr:col>6</xdr:col>
      <xdr:colOff>828675</xdr:colOff>
      <xdr:row>66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49</xdr:row>
      <xdr:rowOff>0</xdr:rowOff>
    </xdr:from>
    <xdr:to>
      <xdr:col>12</xdr:col>
      <xdr:colOff>828675</xdr:colOff>
      <xdr:row>66</xdr:row>
      <xdr:rowOff>57150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1"/>
  <sheetViews>
    <sheetView topLeftCell="A35" workbookViewId="0">
      <selection sqref="A1:P61"/>
    </sheetView>
  </sheetViews>
  <sheetFormatPr defaultRowHeight="14.4" x14ac:dyDescent="0.3"/>
  <cols>
    <col min="1" max="1" width="12.6640625" style="1" customWidth="1"/>
    <col min="2" max="2" width="12.6640625" customWidth="1"/>
    <col min="3" max="3" width="8.6640625" style="2" customWidth="1"/>
    <col min="4" max="4" width="12.6640625" customWidth="1"/>
    <col min="5" max="5" width="8.6640625" style="2" customWidth="1"/>
    <col min="6" max="6" width="8.6640625" customWidth="1"/>
    <col min="7" max="8" width="16.6640625" style="2" customWidth="1"/>
    <col min="9" max="9" width="16.6640625" style="3" customWidth="1"/>
    <col min="10" max="11" width="16.6640625" style="2" customWidth="1"/>
    <col min="12" max="13" width="16.6640625" style="3" customWidth="1"/>
    <col min="14" max="15" width="16.6640625" style="2" customWidth="1"/>
    <col min="16" max="16" width="16.6640625" style="3" customWidth="1"/>
  </cols>
  <sheetData>
    <row r="1" spans="1:16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 x14ac:dyDescent="0.3">
      <c r="A2" s="1">
        <v>46143</v>
      </c>
      <c r="B2" t="s">
        <v>16</v>
      </c>
      <c r="C2" s="2">
        <v>18</v>
      </c>
      <c r="D2" t="s">
        <v>23</v>
      </c>
      <c r="E2" s="2">
        <v>1</v>
      </c>
      <c r="F2" t="s">
        <v>24</v>
      </c>
      <c r="G2" s="2">
        <v>2100</v>
      </c>
      <c r="H2" s="2">
        <v>2072</v>
      </c>
      <c r="I2" s="3">
        <v>2.5999999999999999E-2</v>
      </c>
      <c r="J2" s="2">
        <v>0.6</v>
      </c>
      <c r="K2" s="2">
        <v>25</v>
      </c>
      <c r="L2" s="3">
        <v>0.98599999999999999</v>
      </c>
      <c r="M2" s="3">
        <v>0.98666666666666669</v>
      </c>
      <c r="N2" s="2">
        <v>82.88</v>
      </c>
      <c r="O2" s="2">
        <v>2072</v>
      </c>
      <c r="P2" s="3">
        <v>2.5999999999999999E-2</v>
      </c>
    </row>
    <row r="3" spans="1:16" x14ac:dyDescent="0.3">
      <c r="A3" s="1">
        <v>46143</v>
      </c>
      <c r="B3" t="s">
        <v>16</v>
      </c>
      <c r="C3" s="2">
        <v>18</v>
      </c>
      <c r="D3" t="s">
        <v>23</v>
      </c>
      <c r="E3" s="2">
        <v>2</v>
      </c>
      <c r="F3" t="s">
        <v>24</v>
      </c>
      <c r="G3" s="2">
        <v>2100</v>
      </c>
      <c r="H3" s="2">
        <v>1990</v>
      </c>
      <c r="I3" s="3">
        <v>2.1999999999999999E-2</v>
      </c>
      <c r="J3" s="2">
        <v>0.6</v>
      </c>
      <c r="K3" s="2">
        <v>27</v>
      </c>
      <c r="L3" s="3">
        <v>0.97</v>
      </c>
      <c r="M3" s="3">
        <v>0.94761904761904758</v>
      </c>
      <c r="N3" s="2">
        <v>73.703703703703709</v>
      </c>
      <c r="O3" s="2">
        <v>4062</v>
      </c>
      <c r="P3" s="3">
        <v>2.4040374199901519E-2</v>
      </c>
    </row>
    <row r="4" spans="1:16" x14ac:dyDescent="0.3">
      <c r="A4" s="1">
        <v>46144</v>
      </c>
      <c r="B4" t="s">
        <v>17</v>
      </c>
      <c r="C4" s="2">
        <v>18</v>
      </c>
      <c r="D4" t="s">
        <v>23</v>
      </c>
      <c r="E4" s="2">
        <v>1</v>
      </c>
      <c r="F4" t="s">
        <v>25</v>
      </c>
      <c r="G4" s="2">
        <v>2100</v>
      </c>
      <c r="H4" s="2">
        <v>2057</v>
      </c>
      <c r="I4" s="3">
        <v>2.3E-2</v>
      </c>
      <c r="J4" s="2">
        <v>1.3</v>
      </c>
      <c r="K4" s="2">
        <v>25</v>
      </c>
      <c r="L4" s="3">
        <v>0.98699999999999999</v>
      </c>
      <c r="M4" s="3">
        <v>0.97952380952380957</v>
      </c>
      <c r="N4" s="2">
        <v>82.28</v>
      </c>
      <c r="O4" s="2">
        <v>6119</v>
      </c>
      <c r="P4" s="3">
        <v>2.3690635724791631E-2</v>
      </c>
    </row>
    <row r="5" spans="1:16" x14ac:dyDescent="0.3">
      <c r="A5" s="1">
        <v>46144</v>
      </c>
      <c r="B5" t="s">
        <v>17</v>
      </c>
      <c r="C5" s="2">
        <v>18</v>
      </c>
      <c r="D5" t="s">
        <v>23</v>
      </c>
      <c r="E5" s="2">
        <v>2</v>
      </c>
      <c r="F5" t="s">
        <v>25</v>
      </c>
      <c r="G5" s="2">
        <v>2100</v>
      </c>
      <c r="H5" s="2">
        <v>2083</v>
      </c>
      <c r="I5" s="3">
        <v>2.1999999999999999E-2</v>
      </c>
      <c r="J5" s="2">
        <v>0.6</v>
      </c>
      <c r="K5" s="2">
        <v>27</v>
      </c>
      <c r="L5" s="3">
        <v>0.97299999999999998</v>
      </c>
      <c r="M5" s="3">
        <v>0.99190476190476196</v>
      </c>
      <c r="N5" s="2">
        <v>77.148148148148152</v>
      </c>
      <c r="O5" s="2">
        <v>8202</v>
      </c>
      <c r="P5" s="3">
        <v>2.3261277737137279E-2</v>
      </c>
    </row>
    <row r="6" spans="1:16" x14ac:dyDescent="0.3">
      <c r="A6" s="1">
        <v>46145</v>
      </c>
      <c r="B6" t="s">
        <v>18</v>
      </c>
      <c r="C6" s="2">
        <v>18</v>
      </c>
      <c r="D6" t="s">
        <v>23</v>
      </c>
      <c r="E6" s="2">
        <v>1</v>
      </c>
      <c r="F6" t="s">
        <v>24</v>
      </c>
      <c r="G6" s="2">
        <v>2100</v>
      </c>
      <c r="H6" s="2">
        <v>2054</v>
      </c>
      <c r="I6" s="3">
        <v>2.5000000000000001E-2</v>
      </c>
      <c r="J6" s="2">
        <v>0.5</v>
      </c>
      <c r="K6" s="2">
        <v>25</v>
      </c>
      <c r="L6" s="3">
        <v>0.97699999999999998</v>
      </c>
      <c r="M6" s="3">
        <v>0.97809523809523813</v>
      </c>
      <c r="N6" s="2">
        <v>82.16</v>
      </c>
      <c r="O6" s="2">
        <v>10256</v>
      </c>
      <c r="P6" s="3">
        <v>2.3609496879875191E-2</v>
      </c>
    </row>
    <row r="7" spans="1:16" x14ac:dyDescent="0.3">
      <c r="A7" s="1">
        <v>46145</v>
      </c>
      <c r="B7" t="s">
        <v>18</v>
      </c>
      <c r="C7" s="2">
        <v>18</v>
      </c>
      <c r="D7" t="s">
        <v>23</v>
      </c>
      <c r="E7" s="2">
        <v>2</v>
      </c>
      <c r="F7" t="s">
        <v>24</v>
      </c>
      <c r="G7" s="2">
        <v>2100</v>
      </c>
      <c r="H7" s="2">
        <v>2012</v>
      </c>
      <c r="I7" s="3">
        <v>2.1000000000000001E-2</v>
      </c>
      <c r="J7" s="2">
        <v>0.5</v>
      </c>
      <c r="K7" s="2">
        <v>27</v>
      </c>
      <c r="L7" s="3">
        <v>0.96299999999999997</v>
      </c>
      <c r="M7" s="3">
        <v>0.95809523809523811</v>
      </c>
      <c r="N7" s="2">
        <v>74.518518518518519</v>
      </c>
      <c r="O7" s="2">
        <v>12268</v>
      </c>
      <c r="P7" s="3">
        <v>2.3181529181610691E-2</v>
      </c>
    </row>
    <row r="8" spans="1:16" x14ac:dyDescent="0.3">
      <c r="A8" s="1">
        <v>46146</v>
      </c>
      <c r="B8" t="s">
        <v>19</v>
      </c>
      <c r="C8" s="2">
        <v>19</v>
      </c>
      <c r="D8" t="s">
        <v>23</v>
      </c>
      <c r="E8" s="2">
        <v>1</v>
      </c>
      <c r="F8" t="s">
        <v>25</v>
      </c>
      <c r="G8" s="2">
        <v>2100</v>
      </c>
      <c r="H8" s="2">
        <v>2011</v>
      </c>
      <c r="I8" s="3">
        <v>2.5000000000000001E-2</v>
      </c>
      <c r="J8" s="2">
        <v>0.8</v>
      </c>
      <c r="K8" s="2">
        <v>26</v>
      </c>
      <c r="L8" s="3">
        <v>0.96399999999999997</v>
      </c>
      <c r="M8" s="3">
        <v>0.95761904761904759</v>
      </c>
      <c r="N8" s="2">
        <v>77.34615384615384</v>
      </c>
      <c r="O8" s="2">
        <v>14279</v>
      </c>
      <c r="P8" s="3">
        <v>2.343763568877372E-2</v>
      </c>
    </row>
    <row r="9" spans="1:16" x14ac:dyDescent="0.3">
      <c r="A9" s="1">
        <v>46146</v>
      </c>
      <c r="B9" t="s">
        <v>19</v>
      </c>
      <c r="C9" s="2">
        <v>19</v>
      </c>
      <c r="D9" t="s">
        <v>23</v>
      </c>
      <c r="E9" s="2">
        <v>2</v>
      </c>
      <c r="F9" t="s">
        <v>25</v>
      </c>
      <c r="G9" s="2">
        <v>2100</v>
      </c>
      <c r="H9" s="2">
        <v>1992</v>
      </c>
      <c r="I9" s="3">
        <v>2.5999999999999999E-2</v>
      </c>
      <c r="J9" s="2">
        <v>1</v>
      </c>
      <c r="K9" s="2">
        <v>25</v>
      </c>
      <c r="L9" s="3">
        <v>0.96</v>
      </c>
      <c r="M9" s="3">
        <v>0.94857142857142862</v>
      </c>
      <c r="N9" s="2">
        <v>79.680000000000007</v>
      </c>
      <c r="O9" s="2">
        <v>16271</v>
      </c>
      <c r="P9" s="3">
        <v>2.3751336734066739E-2</v>
      </c>
    </row>
    <row r="10" spans="1:16" x14ac:dyDescent="0.3">
      <c r="A10" s="1">
        <v>46147</v>
      </c>
      <c r="B10" t="s">
        <v>20</v>
      </c>
      <c r="C10" s="2">
        <v>19</v>
      </c>
      <c r="D10" t="s">
        <v>23</v>
      </c>
      <c r="E10" s="2">
        <v>1</v>
      </c>
      <c r="F10" t="s">
        <v>24</v>
      </c>
      <c r="G10" s="2">
        <v>2100</v>
      </c>
      <c r="H10" s="2">
        <v>1991</v>
      </c>
      <c r="I10" s="3">
        <v>0.02</v>
      </c>
      <c r="J10" s="2">
        <v>0.8</v>
      </c>
      <c r="K10" s="2">
        <v>26</v>
      </c>
      <c r="L10" s="3">
        <v>0.96199999999999997</v>
      </c>
      <c r="M10" s="3">
        <v>0.9480952380952381</v>
      </c>
      <c r="N10" s="2">
        <v>76.57692307692308</v>
      </c>
      <c r="O10" s="2">
        <v>18262</v>
      </c>
      <c r="P10" s="3">
        <v>2.334235023546161E-2</v>
      </c>
    </row>
    <row r="11" spans="1:16" x14ac:dyDescent="0.3">
      <c r="A11" s="1">
        <v>46147</v>
      </c>
      <c r="B11" t="s">
        <v>20</v>
      </c>
      <c r="C11" s="2">
        <v>19</v>
      </c>
      <c r="D11" t="s">
        <v>23</v>
      </c>
      <c r="E11" s="2">
        <v>2</v>
      </c>
      <c r="F11" t="s">
        <v>24</v>
      </c>
      <c r="G11" s="2">
        <v>2100</v>
      </c>
      <c r="H11" s="2">
        <v>2084</v>
      </c>
      <c r="I11" s="3">
        <v>2.5000000000000001E-2</v>
      </c>
      <c r="J11" s="2">
        <v>1.2</v>
      </c>
      <c r="K11" s="2">
        <v>27</v>
      </c>
      <c r="L11" s="3">
        <v>0.99</v>
      </c>
      <c r="M11" s="3">
        <v>0.99238095238095236</v>
      </c>
      <c r="N11" s="2">
        <v>77.18518518518519</v>
      </c>
      <c r="O11" s="2">
        <v>20346</v>
      </c>
      <c r="P11" s="3">
        <v>2.3512139978374119E-2</v>
      </c>
    </row>
    <row r="12" spans="1:16" x14ac:dyDescent="0.3">
      <c r="A12" s="1">
        <v>46148</v>
      </c>
      <c r="B12" t="s">
        <v>21</v>
      </c>
      <c r="C12" s="2">
        <v>19</v>
      </c>
      <c r="D12" t="s">
        <v>23</v>
      </c>
      <c r="E12" s="2">
        <v>1</v>
      </c>
      <c r="F12" t="s">
        <v>25</v>
      </c>
      <c r="G12" s="2">
        <v>2100</v>
      </c>
      <c r="H12" s="2">
        <v>2033</v>
      </c>
      <c r="I12" s="3">
        <v>2.1999999999999999E-2</v>
      </c>
      <c r="J12" s="2">
        <v>1</v>
      </c>
      <c r="K12" s="2">
        <v>27</v>
      </c>
      <c r="L12" s="3">
        <v>0.98399999999999999</v>
      </c>
      <c r="M12" s="3">
        <v>0.96809523809523812</v>
      </c>
      <c r="N12" s="2">
        <v>75.296296296296291</v>
      </c>
      <c r="O12" s="2">
        <v>22379</v>
      </c>
      <c r="P12" s="3">
        <v>2.3374770990660879E-2</v>
      </c>
    </row>
    <row r="13" spans="1:16" x14ac:dyDescent="0.3">
      <c r="A13" s="1">
        <v>46148</v>
      </c>
      <c r="B13" t="s">
        <v>21</v>
      </c>
      <c r="C13" s="2">
        <v>19</v>
      </c>
      <c r="D13" t="s">
        <v>23</v>
      </c>
      <c r="E13" s="2">
        <v>2</v>
      </c>
      <c r="F13" t="s">
        <v>25</v>
      </c>
      <c r="G13" s="2">
        <v>2100</v>
      </c>
      <c r="H13" s="2">
        <v>2011</v>
      </c>
      <c r="I13" s="3">
        <v>2.4E-2</v>
      </c>
      <c r="J13" s="2">
        <v>1</v>
      </c>
      <c r="K13" s="2">
        <v>25</v>
      </c>
      <c r="L13" s="3">
        <v>0.97099999999999997</v>
      </c>
      <c r="M13" s="3">
        <v>0.95761904761904759</v>
      </c>
      <c r="N13" s="2">
        <v>80.44</v>
      </c>
      <c r="O13" s="2">
        <v>24390</v>
      </c>
      <c r="P13" s="3">
        <v>2.3426322263222631E-2</v>
      </c>
    </row>
    <row r="14" spans="1:16" x14ac:dyDescent="0.3">
      <c r="A14" s="1">
        <v>46149</v>
      </c>
      <c r="B14" t="s">
        <v>22</v>
      </c>
      <c r="C14" s="2">
        <v>19</v>
      </c>
      <c r="D14" t="s">
        <v>23</v>
      </c>
      <c r="E14" s="2">
        <v>2</v>
      </c>
      <c r="F14" t="s">
        <v>24</v>
      </c>
      <c r="G14" s="2">
        <v>2100</v>
      </c>
      <c r="H14" s="2">
        <v>2079</v>
      </c>
      <c r="I14" s="3">
        <v>2.5000000000000001E-2</v>
      </c>
      <c r="J14" s="2">
        <v>0.9</v>
      </c>
      <c r="K14" s="2">
        <v>25</v>
      </c>
      <c r="L14" s="3">
        <v>0.96399999999999997</v>
      </c>
      <c r="M14" s="3">
        <v>0.99</v>
      </c>
      <c r="N14" s="2">
        <v>83.16</v>
      </c>
      <c r="O14" s="2">
        <v>26469</v>
      </c>
      <c r="P14" s="3">
        <v>2.3549926328913069E-2</v>
      </c>
    </row>
    <row r="15" spans="1:16" x14ac:dyDescent="0.3">
      <c r="A15" s="1">
        <v>46149</v>
      </c>
      <c r="B15" t="s">
        <v>22</v>
      </c>
      <c r="C15" s="2">
        <v>19</v>
      </c>
      <c r="D15" t="s">
        <v>23</v>
      </c>
      <c r="E15" s="2">
        <v>1</v>
      </c>
      <c r="F15" t="s">
        <v>24</v>
      </c>
      <c r="G15" s="2">
        <v>2100</v>
      </c>
      <c r="H15" s="2">
        <v>2057</v>
      </c>
      <c r="I15" s="3">
        <v>2.3E-2</v>
      </c>
      <c r="J15" s="2">
        <v>0.6</v>
      </c>
      <c r="K15" s="2">
        <v>26</v>
      </c>
      <c r="L15" s="3">
        <v>0.98399999999999999</v>
      </c>
      <c r="M15" s="3">
        <v>0.97952380952380957</v>
      </c>
      <c r="N15" s="2">
        <v>79.115384615384613</v>
      </c>
      <c r="O15" s="2">
        <v>28526</v>
      </c>
      <c r="P15" s="3">
        <v>2.3510271331416949E-2</v>
      </c>
    </row>
    <row r="16" spans="1:16" x14ac:dyDescent="0.3">
      <c r="A16" s="1">
        <v>46150</v>
      </c>
      <c r="B16" t="s">
        <v>16</v>
      </c>
      <c r="C16" s="2">
        <v>19</v>
      </c>
      <c r="D16" t="s">
        <v>23</v>
      </c>
      <c r="E16" s="2">
        <v>1</v>
      </c>
      <c r="F16" t="s">
        <v>25</v>
      </c>
      <c r="G16" s="2">
        <v>2100</v>
      </c>
      <c r="H16" s="2">
        <v>2016</v>
      </c>
      <c r="I16" s="3">
        <v>2.1999999999999999E-2</v>
      </c>
      <c r="J16" s="2">
        <v>0.8</v>
      </c>
      <c r="K16" s="2">
        <v>26</v>
      </c>
      <c r="L16" s="3">
        <v>0.96499999999999997</v>
      </c>
      <c r="M16" s="3">
        <v>0.96</v>
      </c>
      <c r="N16" s="2">
        <v>77.538461538461533</v>
      </c>
      <c r="O16" s="2">
        <v>30542</v>
      </c>
      <c r="P16" s="3">
        <v>2.3410582149171629E-2</v>
      </c>
    </row>
    <row r="17" spans="1:16" x14ac:dyDescent="0.3">
      <c r="A17" s="1">
        <v>46150</v>
      </c>
      <c r="B17" t="s">
        <v>16</v>
      </c>
      <c r="C17" s="2">
        <v>19</v>
      </c>
      <c r="D17" t="s">
        <v>23</v>
      </c>
      <c r="E17" s="2">
        <v>2</v>
      </c>
      <c r="F17" t="s">
        <v>25</v>
      </c>
      <c r="G17" s="2">
        <v>2100</v>
      </c>
      <c r="H17" s="2">
        <v>2072</v>
      </c>
      <c r="I17" s="3">
        <v>2.3E-2</v>
      </c>
      <c r="J17" s="2">
        <v>0.8</v>
      </c>
      <c r="K17" s="2">
        <v>25</v>
      </c>
      <c r="L17" s="3">
        <v>0.98799999999999999</v>
      </c>
      <c r="M17" s="3">
        <v>0.98666666666666669</v>
      </c>
      <c r="N17" s="2">
        <v>82.88</v>
      </c>
      <c r="O17" s="2">
        <v>32614</v>
      </c>
      <c r="P17" s="3">
        <v>2.338449745508064E-2</v>
      </c>
    </row>
    <row r="18" spans="1:16" x14ac:dyDescent="0.3">
      <c r="A18" s="1">
        <v>46151</v>
      </c>
      <c r="B18" t="s">
        <v>17</v>
      </c>
      <c r="C18" s="2">
        <v>19</v>
      </c>
      <c r="D18" t="s">
        <v>23</v>
      </c>
      <c r="E18" s="2">
        <v>1</v>
      </c>
      <c r="F18" t="s">
        <v>24</v>
      </c>
      <c r="G18" s="2">
        <v>2100</v>
      </c>
      <c r="H18" s="2">
        <v>2056</v>
      </c>
      <c r="I18" s="3">
        <v>2.3E-2</v>
      </c>
      <c r="J18" s="2">
        <v>0.8</v>
      </c>
      <c r="K18" s="2">
        <v>26</v>
      </c>
      <c r="L18" s="3">
        <v>0.95199999999999996</v>
      </c>
      <c r="M18" s="3">
        <v>0.97904761904761906</v>
      </c>
      <c r="N18" s="2">
        <v>79.07692307692308</v>
      </c>
      <c r="O18" s="2">
        <v>34670</v>
      </c>
      <c r="P18" s="3">
        <v>2.336169599077012E-2</v>
      </c>
    </row>
    <row r="19" spans="1:16" x14ac:dyDescent="0.3">
      <c r="A19" s="1">
        <v>46151</v>
      </c>
      <c r="B19" t="s">
        <v>17</v>
      </c>
      <c r="C19" s="2">
        <v>19</v>
      </c>
      <c r="D19" t="s">
        <v>23</v>
      </c>
      <c r="E19" s="2">
        <v>2</v>
      </c>
      <c r="F19" t="s">
        <v>24</v>
      </c>
      <c r="G19" s="2">
        <v>2100</v>
      </c>
      <c r="H19" s="2">
        <v>2036</v>
      </c>
      <c r="I19" s="3">
        <v>2.3E-2</v>
      </c>
      <c r="J19" s="2">
        <v>1.2</v>
      </c>
      <c r="K19" s="2">
        <v>26</v>
      </c>
      <c r="L19" s="3">
        <v>0.95</v>
      </c>
      <c r="M19" s="3">
        <v>0.96952380952380957</v>
      </c>
      <c r="N19" s="2">
        <v>78.307692307692307</v>
      </c>
      <c r="O19" s="2">
        <v>36706</v>
      </c>
      <c r="P19" s="3">
        <v>2.3341633520405379E-2</v>
      </c>
    </row>
    <row r="20" spans="1:16" x14ac:dyDescent="0.3">
      <c r="A20" s="1">
        <v>46152</v>
      </c>
      <c r="B20" t="s">
        <v>18</v>
      </c>
      <c r="C20" s="2">
        <v>19</v>
      </c>
      <c r="D20" t="s">
        <v>23</v>
      </c>
      <c r="E20" s="2">
        <v>1</v>
      </c>
      <c r="F20" t="s">
        <v>25</v>
      </c>
      <c r="G20" s="2">
        <v>2100</v>
      </c>
      <c r="H20" s="2">
        <v>2059</v>
      </c>
      <c r="I20" s="3">
        <v>2.5999999999999999E-2</v>
      </c>
      <c r="J20" s="2">
        <v>0.7</v>
      </c>
      <c r="K20" s="2">
        <v>26</v>
      </c>
      <c r="L20" s="3">
        <v>0.96699999999999997</v>
      </c>
      <c r="M20" s="3">
        <v>0.9804761904761905</v>
      </c>
      <c r="N20" s="2">
        <v>79.192307692307693</v>
      </c>
      <c r="O20" s="2">
        <v>38765</v>
      </c>
      <c r="P20" s="3">
        <v>2.348283245195408E-2</v>
      </c>
    </row>
    <row r="21" spans="1:16" x14ac:dyDescent="0.3">
      <c r="A21" s="1">
        <v>46152</v>
      </c>
      <c r="B21" t="s">
        <v>18</v>
      </c>
      <c r="C21" s="2">
        <v>19</v>
      </c>
      <c r="D21" t="s">
        <v>23</v>
      </c>
      <c r="E21" s="2">
        <v>2</v>
      </c>
      <c r="F21" t="s">
        <v>25</v>
      </c>
      <c r="G21" s="2">
        <v>2100</v>
      </c>
      <c r="H21" s="2">
        <v>2064</v>
      </c>
      <c r="I21" s="3">
        <v>2.5999999999999999E-2</v>
      </c>
      <c r="J21" s="2">
        <v>0.5</v>
      </c>
      <c r="K21" s="2">
        <v>27</v>
      </c>
      <c r="L21" s="3">
        <v>0.98099999999999998</v>
      </c>
      <c r="M21" s="3">
        <v>0.98285714285714287</v>
      </c>
      <c r="N21" s="2">
        <v>76.444444444444443</v>
      </c>
      <c r="O21" s="2">
        <v>40829</v>
      </c>
      <c r="P21" s="3">
        <v>2.3610081069827819E-2</v>
      </c>
    </row>
    <row r="22" spans="1:16" x14ac:dyDescent="0.3">
      <c r="A22" s="1">
        <v>46153</v>
      </c>
      <c r="B22" t="s">
        <v>19</v>
      </c>
      <c r="C22" s="2">
        <v>20</v>
      </c>
      <c r="D22" t="s">
        <v>23</v>
      </c>
      <c r="E22" s="2">
        <v>1</v>
      </c>
      <c r="F22" t="s">
        <v>24</v>
      </c>
      <c r="G22" s="2">
        <v>2100</v>
      </c>
      <c r="H22" s="2">
        <v>2038</v>
      </c>
      <c r="I22" s="3">
        <v>2.1999999999999999E-2</v>
      </c>
      <c r="J22" s="2">
        <v>1.2</v>
      </c>
      <c r="K22" s="2">
        <v>26</v>
      </c>
      <c r="L22" s="3">
        <v>0.95099999999999996</v>
      </c>
      <c r="M22" s="3">
        <v>0.97047619047619049</v>
      </c>
      <c r="N22" s="2">
        <v>78.384615384615387</v>
      </c>
      <c r="O22" s="2">
        <v>42867</v>
      </c>
      <c r="P22" s="3">
        <v>2.353353395385728E-2</v>
      </c>
    </row>
    <row r="23" spans="1:16" x14ac:dyDescent="0.3">
      <c r="A23" s="1">
        <v>46153</v>
      </c>
      <c r="B23" t="s">
        <v>19</v>
      </c>
      <c r="C23" s="2">
        <v>20</v>
      </c>
      <c r="D23" t="s">
        <v>23</v>
      </c>
      <c r="E23" s="2">
        <v>2</v>
      </c>
      <c r="F23" t="s">
        <v>24</v>
      </c>
      <c r="G23" s="2">
        <v>2100</v>
      </c>
      <c r="H23" s="2">
        <v>2051</v>
      </c>
      <c r="I23" s="3">
        <v>2.5999999999999999E-2</v>
      </c>
      <c r="J23" s="2">
        <v>0.6</v>
      </c>
      <c r="K23" s="2">
        <v>27</v>
      </c>
      <c r="L23" s="3">
        <v>0.99</v>
      </c>
      <c r="M23" s="3">
        <v>0.97666666666666668</v>
      </c>
      <c r="N23" s="2">
        <v>75.962962962962962</v>
      </c>
      <c r="O23" s="2">
        <v>44918</v>
      </c>
      <c r="P23" s="3">
        <v>2.364615521617169E-2</v>
      </c>
    </row>
    <row r="24" spans="1:16" x14ac:dyDescent="0.3">
      <c r="A24" s="1">
        <v>46154</v>
      </c>
      <c r="B24" t="s">
        <v>20</v>
      </c>
      <c r="C24" s="2">
        <v>20</v>
      </c>
      <c r="D24" t="s">
        <v>23</v>
      </c>
      <c r="E24" s="2">
        <v>1</v>
      </c>
      <c r="F24" t="s">
        <v>25</v>
      </c>
      <c r="G24" s="2">
        <v>2100</v>
      </c>
      <c r="H24" s="2">
        <v>2052</v>
      </c>
      <c r="I24" s="3">
        <v>2.1999999999999999E-2</v>
      </c>
      <c r="J24" s="2">
        <v>0.5</v>
      </c>
      <c r="K24" s="2">
        <v>26</v>
      </c>
      <c r="L24" s="3">
        <v>0.97299999999999998</v>
      </c>
      <c r="M24" s="3">
        <v>0.97714285714285709</v>
      </c>
      <c r="N24" s="2">
        <v>78.92307692307692</v>
      </c>
      <c r="O24" s="2">
        <v>46970</v>
      </c>
      <c r="P24" s="3">
        <v>2.3574238875878221E-2</v>
      </c>
    </row>
    <row r="25" spans="1:16" x14ac:dyDescent="0.3">
      <c r="A25" s="1">
        <v>46154</v>
      </c>
      <c r="B25" t="s">
        <v>20</v>
      </c>
      <c r="C25" s="2">
        <v>20</v>
      </c>
      <c r="D25" t="s">
        <v>23</v>
      </c>
      <c r="E25" s="2">
        <v>2</v>
      </c>
      <c r="F25" t="s">
        <v>25</v>
      </c>
      <c r="G25" s="2">
        <v>2100</v>
      </c>
      <c r="H25" s="2">
        <v>1984</v>
      </c>
      <c r="I25" s="3">
        <v>2.5000000000000001E-2</v>
      </c>
      <c r="J25" s="2">
        <v>1.3</v>
      </c>
      <c r="K25" s="2">
        <v>26</v>
      </c>
      <c r="L25" s="3">
        <v>0.96799999999999997</v>
      </c>
      <c r="M25" s="3">
        <v>0.9447619047619048</v>
      </c>
      <c r="N25" s="2">
        <v>76.307692307692307</v>
      </c>
      <c r="O25" s="2">
        <v>48954</v>
      </c>
      <c r="P25" s="3">
        <v>2.3632021898108421E-2</v>
      </c>
    </row>
    <row r="26" spans="1:16" x14ac:dyDescent="0.3">
      <c r="A26" s="1">
        <v>46155</v>
      </c>
      <c r="B26" t="s">
        <v>21</v>
      </c>
      <c r="C26" s="2">
        <v>20</v>
      </c>
      <c r="D26" t="s">
        <v>23</v>
      </c>
      <c r="E26" s="2">
        <v>1</v>
      </c>
      <c r="F26" t="s">
        <v>24</v>
      </c>
      <c r="G26" s="2">
        <v>2100</v>
      </c>
      <c r="H26" s="2">
        <v>2029</v>
      </c>
      <c r="I26" s="3">
        <v>2.3E-2</v>
      </c>
      <c r="J26" s="2">
        <v>0.9</v>
      </c>
      <c r="K26" s="2">
        <v>27</v>
      </c>
      <c r="L26" s="3">
        <v>0.95399999999999996</v>
      </c>
      <c r="M26" s="3">
        <v>0.96619047619047616</v>
      </c>
      <c r="N26" s="2">
        <v>75.148148148148152</v>
      </c>
      <c r="O26" s="2">
        <v>50983</v>
      </c>
      <c r="P26" s="3">
        <v>2.360686895631877E-2</v>
      </c>
    </row>
    <row r="27" spans="1:16" x14ac:dyDescent="0.3">
      <c r="A27" s="1">
        <v>46155</v>
      </c>
      <c r="B27" t="s">
        <v>21</v>
      </c>
      <c r="C27" s="2">
        <v>20</v>
      </c>
      <c r="D27" t="s">
        <v>23</v>
      </c>
      <c r="E27" s="2">
        <v>2</v>
      </c>
      <c r="F27" t="s">
        <v>24</v>
      </c>
      <c r="G27" s="2">
        <v>2100</v>
      </c>
      <c r="H27" s="2">
        <v>2050</v>
      </c>
      <c r="I27" s="3">
        <v>2.7E-2</v>
      </c>
      <c r="J27" s="2">
        <v>1.3</v>
      </c>
      <c r="K27" s="2">
        <v>27</v>
      </c>
      <c r="L27" s="3">
        <v>0.95699999999999996</v>
      </c>
      <c r="M27" s="3">
        <v>0.97619047619047616</v>
      </c>
      <c r="N27" s="2">
        <v>75.925925925925924</v>
      </c>
      <c r="O27" s="2">
        <v>53033</v>
      </c>
      <c r="P27" s="3">
        <v>2.3738031037278669E-2</v>
      </c>
    </row>
    <row r="28" spans="1:16" x14ac:dyDescent="0.3">
      <c r="A28" s="1">
        <v>46156</v>
      </c>
      <c r="B28" t="s">
        <v>22</v>
      </c>
      <c r="C28" s="2">
        <v>20</v>
      </c>
      <c r="D28" t="s">
        <v>23</v>
      </c>
      <c r="E28" s="2">
        <v>1</v>
      </c>
      <c r="F28" t="s">
        <v>25</v>
      </c>
      <c r="G28" s="2">
        <v>2100</v>
      </c>
      <c r="H28" s="2">
        <v>2077</v>
      </c>
      <c r="I28" s="3">
        <v>2.5000000000000001E-2</v>
      </c>
      <c r="J28" s="2">
        <v>0.9</v>
      </c>
      <c r="K28" s="2">
        <v>27</v>
      </c>
      <c r="L28" s="3">
        <v>0.98499999999999999</v>
      </c>
      <c r="M28" s="3">
        <v>0.98904761904761906</v>
      </c>
      <c r="N28" s="2">
        <v>76.925925925925924</v>
      </c>
      <c r="O28" s="2">
        <v>55110</v>
      </c>
      <c r="P28" s="3">
        <v>2.378559245146071E-2</v>
      </c>
    </row>
    <row r="29" spans="1:16" x14ac:dyDescent="0.3">
      <c r="A29" s="1">
        <v>46156</v>
      </c>
      <c r="B29" t="s">
        <v>22</v>
      </c>
      <c r="C29" s="2">
        <v>20</v>
      </c>
      <c r="D29" t="s">
        <v>23</v>
      </c>
      <c r="E29" s="2">
        <v>2</v>
      </c>
      <c r="F29" t="s">
        <v>25</v>
      </c>
      <c r="G29" s="2">
        <v>2100</v>
      </c>
      <c r="H29" s="2">
        <v>1983</v>
      </c>
      <c r="I29" s="3">
        <v>2.3E-2</v>
      </c>
      <c r="J29" s="2">
        <v>1</v>
      </c>
      <c r="K29" s="2">
        <v>27</v>
      </c>
      <c r="L29" s="3">
        <v>0.95399999999999996</v>
      </c>
      <c r="M29" s="3">
        <v>0.94428571428571428</v>
      </c>
      <c r="N29" s="2">
        <v>73.444444444444443</v>
      </c>
      <c r="O29" s="2">
        <v>57093</v>
      </c>
      <c r="P29" s="3">
        <v>2.375830662252815E-2</v>
      </c>
    </row>
    <row r="30" spans="1:16" x14ac:dyDescent="0.3">
      <c r="A30" s="1">
        <v>46157</v>
      </c>
      <c r="B30" t="s">
        <v>16</v>
      </c>
      <c r="C30" s="2">
        <v>20</v>
      </c>
      <c r="D30" t="s">
        <v>23</v>
      </c>
      <c r="E30" s="2">
        <v>2</v>
      </c>
      <c r="F30" t="s">
        <v>24</v>
      </c>
      <c r="G30" s="2">
        <v>2100</v>
      </c>
      <c r="H30" s="2">
        <v>2052</v>
      </c>
      <c r="I30" s="3">
        <v>2.1999999999999999E-2</v>
      </c>
      <c r="J30" s="2">
        <v>0.8</v>
      </c>
      <c r="K30" s="2">
        <v>25</v>
      </c>
      <c r="L30" s="3">
        <v>0.97599999999999998</v>
      </c>
      <c r="M30" s="3">
        <v>0.97714285714285709</v>
      </c>
      <c r="N30" s="2">
        <v>82.08</v>
      </c>
      <c r="O30" s="2">
        <v>59145</v>
      </c>
      <c r="P30" s="3">
        <v>2.3697303237805389E-2</v>
      </c>
    </row>
    <row r="31" spans="1:16" x14ac:dyDescent="0.3">
      <c r="A31" s="1">
        <v>46157</v>
      </c>
      <c r="B31" t="s">
        <v>16</v>
      </c>
      <c r="C31" s="2">
        <v>20</v>
      </c>
      <c r="D31" t="s">
        <v>23</v>
      </c>
      <c r="E31" s="2">
        <v>1</v>
      </c>
      <c r="F31" t="s">
        <v>24</v>
      </c>
      <c r="G31" s="2">
        <v>2100</v>
      </c>
      <c r="H31" s="2">
        <v>1991</v>
      </c>
      <c r="I31" s="3">
        <v>2.5000000000000001E-2</v>
      </c>
      <c r="J31" s="2">
        <v>1.3</v>
      </c>
      <c r="K31" s="2">
        <v>27</v>
      </c>
      <c r="L31" s="3">
        <v>0.96299999999999997</v>
      </c>
      <c r="M31" s="3">
        <v>0.9480952380952381</v>
      </c>
      <c r="N31" s="2">
        <v>73.740740740740748</v>
      </c>
      <c r="O31" s="2">
        <v>61136</v>
      </c>
      <c r="P31" s="3">
        <v>2.3739727819942422E-2</v>
      </c>
    </row>
    <row r="32" spans="1:16" x14ac:dyDescent="0.3">
      <c r="A32" s="1">
        <v>46158</v>
      </c>
      <c r="B32" t="s">
        <v>17</v>
      </c>
      <c r="C32" s="2">
        <v>20</v>
      </c>
      <c r="D32" t="s">
        <v>23</v>
      </c>
      <c r="E32" s="2">
        <v>1</v>
      </c>
      <c r="F32" t="s">
        <v>25</v>
      </c>
      <c r="G32" s="2">
        <v>2100</v>
      </c>
      <c r="H32" s="2">
        <v>1995</v>
      </c>
      <c r="I32" s="3">
        <v>2.7E-2</v>
      </c>
      <c r="J32" s="2">
        <v>1</v>
      </c>
      <c r="K32" s="2">
        <v>27</v>
      </c>
      <c r="L32" s="3">
        <v>0.95199999999999996</v>
      </c>
      <c r="M32" s="3">
        <v>0.95</v>
      </c>
      <c r="N32" s="2">
        <v>73.888888888888886</v>
      </c>
      <c r="O32" s="2">
        <v>63131</v>
      </c>
      <c r="P32" s="3">
        <v>2.384275554006747E-2</v>
      </c>
    </row>
    <row r="33" spans="1:16" x14ac:dyDescent="0.3">
      <c r="A33" s="1">
        <v>46158</v>
      </c>
      <c r="B33" t="s">
        <v>17</v>
      </c>
      <c r="C33" s="2">
        <v>20</v>
      </c>
      <c r="D33" t="s">
        <v>23</v>
      </c>
      <c r="E33" s="2">
        <v>2</v>
      </c>
      <c r="F33" t="s">
        <v>25</v>
      </c>
      <c r="G33" s="2">
        <v>2100</v>
      </c>
      <c r="H33" s="2">
        <v>2001</v>
      </c>
      <c r="I33" s="3">
        <v>2.1999999999999999E-2</v>
      </c>
      <c r="J33" s="2">
        <v>0.8</v>
      </c>
      <c r="K33" s="2">
        <v>26</v>
      </c>
      <c r="L33" s="3">
        <v>0.98599999999999999</v>
      </c>
      <c r="M33" s="3">
        <v>0.95285714285714285</v>
      </c>
      <c r="N33" s="2">
        <v>76.961538461538467</v>
      </c>
      <c r="O33" s="2">
        <v>65132</v>
      </c>
      <c r="P33" s="3">
        <v>2.378614198857704E-2</v>
      </c>
    </row>
    <row r="34" spans="1:16" x14ac:dyDescent="0.3">
      <c r="A34" s="1">
        <v>46159</v>
      </c>
      <c r="B34" t="s">
        <v>18</v>
      </c>
      <c r="C34" s="2">
        <v>20</v>
      </c>
      <c r="D34" t="s">
        <v>23</v>
      </c>
      <c r="E34" s="2">
        <v>1</v>
      </c>
      <c r="F34" t="s">
        <v>24</v>
      </c>
      <c r="G34" s="2">
        <v>2100</v>
      </c>
      <c r="H34" s="2">
        <v>2006</v>
      </c>
      <c r="I34" s="3">
        <v>2.5999999999999999E-2</v>
      </c>
      <c r="J34" s="2">
        <v>1.2</v>
      </c>
      <c r="K34" s="2">
        <v>27</v>
      </c>
      <c r="L34" s="3">
        <v>0.98599999999999999</v>
      </c>
      <c r="M34" s="3">
        <v>0.95523809523809522</v>
      </c>
      <c r="N34" s="2">
        <v>74.296296296296291</v>
      </c>
      <c r="O34" s="2">
        <v>67138</v>
      </c>
      <c r="P34" s="3">
        <v>2.3852289314546148E-2</v>
      </c>
    </row>
    <row r="35" spans="1:16" x14ac:dyDescent="0.3">
      <c r="A35" s="1">
        <v>46159</v>
      </c>
      <c r="B35" t="s">
        <v>18</v>
      </c>
      <c r="C35" s="2">
        <v>20</v>
      </c>
      <c r="D35" t="s">
        <v>23</v>
      </c>
      <c r="E35" s="2">
        <v>2</v>
      </c>
      <c r="F35" t="s">
        <v>24</v>
      </c>
      <c r="G35" s="2">
        <v>2100</v>
      </c>
      <c r="H35" s="2">
        <v>2079</v>
      </c>
      <c r="I35" s="3">
        <v>2.1999999999999999E-2</v>
      </c>
      <c r="J35" s="2">
        <v>0.5</v>
      </c>
      <c r="K35" s="2">
        <v>26</v>
      </c>
      <c r="L35" s="3">
        <v>0.98099999999999998</v>
      </c>
      <c r="M35" s="3">
        <v>0.99</v>
      </c>
      <c r="N35" s="2">
        <v>79.961538461538467</v>
      </c>
      <c r="O35" s="2">
        <v>69217</v>
      </c>
      <c r="P35" s="3">
        <v>2.3796654001184671E-2</v>
      </c>
    </row>
    <row r="36" spans="1:16" x14ac:dyDescent="0.3">
      <c r="A36" s="1">
        <v>46160</v>
      </c>
      <c r="B36" t="s">
        <v>19</v>
      </c>
      <c r="C36" s="2">
        <v>21</v>
      </c>
      <c r="D36" t="s">
        <v>23</v>
      </c>
      <c r="E36" s="2">
        <v>1</v>
      </c>
      <c r="F36" t="s">
        <v>25</v>
      </c>
      <c r="G36" s="2">
        <v>2100</v>
      </c>
      <c r="H36" s="2">
        <v>2022</v>
      </c>
      <c r="I36" s="3">
        <v>2.4E-2</v>
      </c>
      <c r="J36" s="2">
        <v>0.9</v>
      </c>
      <c r="K36" s="2">
        <v>26</v>
      </c>
      <c r="L36" s="3">
        <v>0.98099999999999998</v>
      </c>
      <c r="M36" s="3">
        <v>0.96285714285714286</v>
      </c>
      <c r="N36" s="2">
        <v>77.769230769230774</v>
      </c>
      <c r="O36" s="2">
        <v>71239</v>
      </c>
      <c r="P36" s="3">
        <v>2.3802425637642299E-2</v>
      </c>
    </row>
    <row r="37" spans="1:16" x14ac:dyDescent="0.3">
      <c r="A37" s="1">
        <v>46160</v>
      </c>
      <c r="B37" t="s">
        <v>19</v>
      </c>
      <c r="C37" s="2">
        <v>21</v>
      </c>
      <c r="D37" t="s">
        <v>23</v>
      </c>
      <c r="E37" s="2">
        <v>2</v>
      </c>
      <c r="F37" t="s">
        <v>25</v>
      </c>
      <c r="G37" s="2">
        <v>2100</v>
      </c>
      <c r="H37" s="2">
        <v>1996</v>
      </c>
      <c r="I37" s="3">
        <v>2.1000000000000001E-2</v>
      </c>
      <c r="J37" s="2">
        <v>0.7</v>
      </c>
      <c r="K37" s="2">
        <v>27</v>
      </c>
      <c r="L37" s="3">
        <v>0.98899999999999999</v>
      </c>
      <c r="M37" s="3">
        <v>0.95047619047619047</v>
      </c>
      <c r="N37" s="2">
        <v>73.925925925925924</v>
      </c>
      <c r="O37" s="2">
        <v>73235</v>
      </c>
      <c r="P37" s="3">
        <v>2.3726046289342519E-2</v>
      </c>
    </row>
    <row r="38" spans="1:16" x14ac:dyDescent="0.3">
      <c r="A38" s="1">
        <v>46161</v>
      </c>
      <c r="B38" t="s">
        <v>20</v>
      </c>
      <c r="C38" s="2">
        <v>21</v>
      </c>
      <c r="D38" t="s">
        <v>23</v>
      </c>
      <c r="E38" s="2">
        <v>1</v>
      </c>
      <c r="F38" t="s">
        <v>24</v>
      </c>
      <c r="G38" s="2">
        <v>2100</v>
      </c>
      <c r="H38" s="2">
        <v>2042</v>
      </c>
      <c r="I38" s="3">
        <v>0.02</v>
      </c>
      <c r="J38" s="2">
        <v>0.5</v>
      </c>
      <c r="K38" s="2">
        <v>27</v>
      </c>
      <c r="L38" s="3">
        <v>0.96499999999999997</v>
      </c>
      <c r="M38" s="3">
        <v>0.97238095238095235</v>
      </c>
      <c r="N38" s="2">
        <v>75.629629629629633</v>
      </c>
      <c r="O38" s="2">
        <v>75277</v>
      </c>
      <c r="P38" s="3">
        <v>2.362497177092604E-2</v>
      </c>
    </row>
    <row r="39" spans="1:16" x14ac:dyDescent="0.3">
      <c r="A39" s="1">
        <v>46161</v>
      </c>
      <c r="B39" t="s">
        <v>20</v>
      </c>
      <c r="C39" s="2">
        <v>21</v>
      </c>
      <c r="D39" t="s">
        <v>23</v>
      </c>
      <c r="E39" s="2">
        <v>2</v>
      </c>
      <c r="F39" t="s">
        <v>24</v>
      </c>
      <c r="G39" s="2">
        <v>2100</v>
      </c>
      <c r="H39" s="2">
        <v>1991</v>
      </c>
      <c r="I39" s="3">
        <v>2.1000000000000001E-2</v>
      </c>
      <c r="J39" s="2">
        <v>0.6</v>
      </c>
      <c r="K39" s="2">
        <v>25</v>
      </c>
      <c r="L39" s="3">
        <v>0.96199999999999997</v>
      </c>
      <c r="M39" s="3">
        <v>0.9480952380952381</v>
      </c>
      <c r="N39" s="2">
        <v>79.64</v>
      </c>
      <c r="O39" s="2">
        <v>77268</v>
      </c>
      <c r="P39" s="3">
        <v>2.3557332919190339E-2</v>
      </c>
    </row>
    <row r="40" spans="1:16" x14ac:dyDescent="0.3">
      <c r="A40" s="1">
        <v>46162</v>
      </c>
      <c r="B40" t="s">
        <v>21</v>
      </c>
      <c r="C40" s="2">
        <v>21</v>
      </c>
      <c r="D40" t="s">
        <v>23</v>
      </c>
      <c r="E40" s="2">
        <v>1</v>
      </c>
      <c r="F40" t="s">
        <v>25</v>
      </c>
      <c r="G40" s="2">
        <v>2100</v>
      </c>
      <c r="H40" s="2">
        <v>2034</v>
      </c>
      <c r="I40" s="3">
        <v>2.5000000000000001E-2</v>
      </c>
      <c r="J40" s="2">
        <v>1.1000000000000001</v>
      </c>
      <c r="K40" s="2">
        <v>25</v>
      </c>
      <c r="L40" s="3">
        <v>0.98199999999999998</v>
      </c>
      <c r="M40" s="3">
        <v>0.96857142857142853</v>
      </c>
      <c r="N40" s="2">
        <v>81.36</v>
      </c>
      <c r="O40" s="2">
        <v>79302</v>
      </c>
      <c r="P40" s="3">
        <v>2.3594335577917319E-2</v>
      </c>
    </row>
    <row r="41" spans="1:16" x14ac:dyDescent="0.3">
      <c r="A41" s="1">
        <v>46162</v>
      </c>
      <c r="B41" t="s">
        <v>21</v>
      </c>
      <c r="C41" s="2">
        <v>21</v>
      </c>
      <c r="D41" t="s">
        <v>23</v>
      </c>
      <c r="E41" s="2">
        <v>2</v>
      </c>
      <c r="F41" t="s">
        <v>25</v>
      </c>
      <c r="G41" s="2">
        <v>2100</v>
      </c>
      <c r="H41" s="2">
        <v>2041</v>
      </c>
      <c r="I41" s="3">
        <v>2.4E-2</v>
      </c>
      <c r="J41" s="2">
        <v>0.8</v>
      </c>
      <c r="K41" s="2">
        <v>27</v>
      </c>
      <c r="L41" s="3">
        <v>0.97399999999999998</v>
      </c>
      <c r="M41" s="3">
        <v>0.97190476190476194</v>
      </c>
      <c r="N41" s="2">
        <v>75.592592592592595</v>
      </c>
      <c r="O41" s="2">
        <v>81343</v>
      </c>
      <c r="P41" s="3">
        <v>2.3604514217572491E-2</v>
      </c>
    </row>
    <row r="42" spans="1:16" x14ac:dyDescent="0.3">
      <c r="A42" s="1">
        <v>46163</v>
      </c>
      <c r="B42" t="s">
        <v>22</v>
      </c>
      <c r="C42" s="2">
        <v>21</v>
      </c>
      <c r="D42" t="s">
        <v>23</v>
      </c>
      <c r="E42" s="2">
        <v>1</v>
      </c>
      <c r="F42" t="s">
        <v>24</v>
      </c>
      <c r="G42" s="2">
        <v>2100</v>
      </c>
      <c r="H42" s="2">
        <v>2014</v>
      </c>
      <c r="I42" s="3">
        <v>2.1999999999999999E-2</v>
      </c>
      <c r="J42" s="2">
        <v>0.6</v>
      </c>
      <c r="K42" s="2">
        <v>26</v>
      </c>
      <c r="L42" s="3">
        <v>0.95399999999999996</v>
      </c>
      <c r="M42" s="3">
        <v>0.95904761904761904</v>
      </c>
      <c r="N42" s="2">
        <v>77.461538461538467</v>
      </c>
      <c r="O42" s="2">
        <v>83357</v>
      </c>
      <c r="P42" s="3">
        <v>2.3565747327758908E-2</v>
      </c>
    </row>
    <row r="43" spans="1:16" x14ac:dyDescent="0.3">
      <c r="A43" s="1">
        <v>46163</v>
      </c>
      <c r="B43" t="s">
        <v>22</v>
      </c>
      <c r="C43" s="2">
        <v>21</v>
      </c>
      <c r="D43" t="s">
        <v>23</v>
      </c>
      <c r="E43" s="2">
        <v>2</v>
      </c>
      <c r="F43" t="s">
        <v>24</v>
      </c>
      <c r="G43" s="2">
        <v>2100</v>
      </c>
      <c r="H43" s="2">
        <v>2084</v>
      </c>
      <c r="I43" s="3">
        <v>2.5000000000000001E-2</v>
      </c>
      <c r="J43" s="2">
        <v>1.1000000000000001</v>
      </c>
      <c r="K43" s="2">
        <v>27</v>
      </c>
      <c r="L43" s="3">
        <v>0.96599999999999997</v>
      </c>
      <c r="M43" s="3">
        <v>0.99238095238095236</v>
      </c>
      <c r="N43" s="2">
        <v>77.18518518518519</v>
      </c>
      <c r="O43" s="2">
        <v>85441</v>
      </c>
      <c r="P43" s="3">
        <v>2.360073032853079E-2</v>
      </c>
    </row>
    <row r="44" spans="1:16" x14ac:dyDescent="0.3">
      <c r="A44" s="1">
        <v>46164</v>
      </c>
      <c r="B44" t="s">
        <v>16</v>
      </c>
      <c r="C44" s="2">
        <v>21</v>
      </c>
      <c r="D44" t="s">
        <v>23</v>
      </c>
      <c r="E44" s="2">
        <v>2</v>
      </c>
      <c r="F44" t="s">
        <v>25</v>
      </c>
      <c r="G44" s="2">
        <v>2100</v>
      </c>
      <c r="H44" s="2">
        <v>2052</v>
      </c>
      <c r="I44" s="3">
        <v>2.5000000000000001E-2</v>
      </c>
      <c r="J44" s="2">
        <v>1.1000000000000001</v>
      </c>
      <c r="K44" s="2">
        <v>25</v>
      </c>
      <c r="L44" s="3">
        <v>0.97399999999999998</v>
      </c>
      <c r="M44" s="3">
        <v>0.97714285714285709</v>
      </c>
      <c r="N44" s="2">
        <v>82.08</v>
      </c>
      <c r="O44" s="2">
        <v>87493</v>
      </c>
      <c r="P44" s="3">
        <v>2.3633547826683272E-2</v>
      </c>
    </row>
    <row r="45" spans="1:16" x14ac:dyDescent="0.3">
      <c r="A45" s="1">
        <v>46164</v>
      </c>
      <c r="B45" t="s">
        <v>16</v>
      </c>
      <c r="C45" s="2">
        <v>21</v>
      </c>
      <c r="D45" t="s">
        <v>23</v>
      </c>
      <c r="E45" s="2">
        <v>1</v>
      </c>
      <c r="F45" t="s">
        <v>25</v>
      </c>
      <c r="G45" s="2">
        <v>2100</v>
      </c>
      <c r="H45" s="2">
        <v>2043</v>
      </c>
      <c r="I45" s="3">
        <v>2.5000000000000001E-2</v>
      </c>
      <c r="J45" s="2">
        <v>0.7</v>
      </c>
      <c r="K45" s="2">
        <v>27</v>
      </c>
      <c r="L45" s="3">
        <v>0.95399999999999996</v>
      </c>
      <c r="M45" s="3">
        <v>0.97285714285714286</v>
      </c>
      <c r="N45" s="2">
        <v>75.666666666666671</v>
      </c>
      <c r="O45" s="2">
        <v>89536</v>
      </c>
      <c r="P45" s="3">
        <v>2.3664727037169399E-2</v>
      </c>
    </row>
    <row r="46" spans="1:16" x14ac:dyDescent="0.3">
      <c r="A46" s="1">
        <v>46165</v>
      </c>
      <c r="B46" t="s">
        <v>17</v>
      </c>
      <c r="C46" s="2">
        <v>21</v>
      </c>
      <c r="D46" t="s">
        <v>23</v>
      </c>
      <c r="E46" s="2">
        <v>2</v>
      </c>
      <c r="F46" t="s">
        <v>24</v>
      </c>
      <c r="G46" s="2">
        <v>2100</v>
      </c>
      <c r="H46" s="2">
        <v>2010</v>
      </c>
      <c r="I46" s="3">
        <v>2.4E-2</v>
      </c>
      <c r="J46" s="2">
        <v>1</v>
      </c>
      <c r="K46" s="2">
        <v>26</v>
      </c>
      <c r="L46" s="3">
        <v>0.98899999999999999</v>
      </c>
      <c r="M46" s="3">
        <v>0.95714285714285718</v>
      </c>
      <c r="N46" s="2">
        <v>77.307692307692307</v>
      </c>
      <c r="O46" s="2">
        <v>91546</v>
      </c>
      <c r="P46" s="3">
        <v>2.3672088349026701E-2</v>
      </c>
    </row>
    <row r="47" spans="1:16" x14ac:dyDescent="0.3">
      <c r="A47" s="1">
        <v>46165</v>
      </c>
      <c r="B47" t="s">
        <v>17</v>
      </c>
      <c r="C47" s="2">
        <v>21</v>
      </c>
      <c r="D47" t="s">
        <v>23</v>
      </c>
      <c r="E47" s="2">
        <v>1</v>
      </c>
      <c r="F47" t="s">
        <v>24</v>
      </c>
      <c r="G47" s="2">
        <v>2100</v>
      </c>
      <c r="H47" s="2">
        <v>1983</v>
      </c>
      <c r="I47" s="3">
        <v>2.5000000000000001E-2</v>
      </c>
      <c r="J47" s="2">
        <v>1</v>
      </c>
      <c r="K47" s="2">
        <v>26</v>
      </c>
      <c r="L47" s="3">
        <v>0.97899999999999998</v>
      </c>
      <c r="M47" s="3">
        <v>0.94428571428571428</v>
      </c>
      <c r="N47" s="2">
        <v>76.269230769230774</v>
      </c>
      <c r="O47" s="2">
        <v>93529</v>
      </c>
      <c r="P47" s="3">
        <v>2.3700242705471011E-2</v>
      </c>
    </row>
    <row r="48" spans="1:16" x14ac:dyDescent="0.3">
      <c r="A48" s="1">
        <v>46166</v>
      </c>
      <c r="B48" t="s">
        <v>18</v>
      </c>
      <c r="C48" s="2">
        <v>21</v>
      </c>
      <c r="D48" t="s">
        <v>23</v>
      </c>
      <c r="E48" s="2">
        <v>1</v>
      </c>
      <c r="F48" t="s">
        <v>25</v>
      </c>
      <c r="G48" s="2">
        <v>2100</v>
      </c>
      <c r="H48" s="2">
        <v>2040</v>
      </c>
      <c r="I48" s="3">
        <v>2.5999999999999999E-2</v>
      </c>
      <c r="J48" s="2">
        <v>1.1000000000000001</v>
      </c>
      <c r="K48" s="2">
        <v>27</v>
      </c>
      <c r="L48" s="3">
        <v>0.96899999999999997</v>
      </c>
      <c r="M48" s="3">
        <v>0.97142857142857142</v>
      </c>
      <c r="N48" s="2">
        <v>75.555555555555557</v>
      </c>
      <c r="O48" s="2">
        <v>95569</v>
      </c>
      <c r="P48" s="3">
        <v>2.3749332942690601E-2</v>
      </c>
    </row>
    <row r="49" spans="1:16" x14ac:dyDescent="0.3">
      <c r="A49" s="1">
        <v>46166</v>
      </c>
      <c r="B49" t="s">
        <v>18</v>
      </c>
      <c r="C49" s="2">
        <v>21</v>
      </c>
      <c r="D49" t="s">
        <v>23</v>
      </c>
      <c r="E49" s="2">
        <v>2</v>
      </c>
      <c r="F49" t="s">
        <v>25</v>
      </c>
      <c r="G49" s="2">
        <v>2100</v>
      </c>
      <c r="H49" s="2">
        <v>2060</v>
      </c>
      <c r="I49" s="3">
        <v>2.4E-2</v>
      </c>
      <c r="J49" s="2">
        <v>0.8</v>
      </c>
      <c r="K49" s="2">
        <v>25</v>
      </c>
      <c r="L49" s="3">
        <v>0.97399999999999998</v>
      </c>
      <c r="M49" s="3">
        <v>0.98095238095238091</v>
      </c>
      <c r="N49" s="2">
        <v>82.4</v>
      </c>
      <c r="O49" s="2">
        <v>97629</v>
      </c>
      <c r="P49" s="3">
        <v>2.375462208974791E-2</v>
      </c>
    </row>
    <row r="50" spans="1:16" x14ac:dyDescent="0.3">
      <c r="A50" s="1">
        <v>46167</v>
      </c>
      <c r="B50" t="s">
        <v>19</v>
      </c>
      <c r="C50" s="2">
        <v>22</v>
      </c>
      <c r="D50" t="s">
        <v>23</v>
      </c>
      <c r="E50" s="2">
        <v>1</v>
      </c>
      <c r="F50" t="s">
        <v>24</v>
      </c>
      <c r="G50" s="2">
        <v>2100</v>
      </c>
      <c r="H50" s="2">
        <v>2067</v>
      </c>
      <c r="I50" s="3">
        <v>2.1000000000000001E-2</v>
      </c>
      <c r="J50" s="2">
        <v>1.1000000000000001</v>
      </c>
      <c r="K50" s="2">
        <v>27</v>
      </c>
      <c r="L50" s="3">
        <v>0.97399999999999998</v>
      </c>
      <c r="M50" s="3">
        <v>0.98428571428571432</v>
      </c>
      <c r="N50" s="2">
        <v>76.555555555555557</v>
      </c>
      <c r="O50" s="2">
        <v>99696</v>
      </c>
      <c r="P50" s="3">
        <v>2.369751043171239E-2</v>
      </c>
    </row>
    <row r="51" spans="1:16" x14ac:dyDescent="0.3">
      <c r="A51" s="1">
        <v>46167</v>
      </c>
      <c r="B51" t="s">
        <v>19</v>
      </c>
      <c r="C51" s="2">
        <v>22</v>
      </c>
      <c r="D51" t="s">
        <v>23</v>
      </c>
      <c r="E51" s="2">
        <v>2</v>
      </c>
      <c r="F51" t="s">
        <v>24</v>
      </c>
      <c r="G51" s="2">
        <v>2100</v>
      </c>
      <c r="H51" s="2">
        <v>2098</v>
      </c>
      <c r="I51" s="3">
        <v>2.1999999999999999E-2</v>
      </c>
      <c r="J51" s="2">
        <v>0.6</v>
      </c>
      <c r="K51" s="2">
        <v>26</v>
      </c>
      <c r="L51" s="3">
        <v>0.96399999999999997</v>
      </c>
      <c r="M51" s="3">
        <v>0.99904761904761907</v>
      </c>
      <c r="N51" s="2">
        <v>80.692307692307693</v>
      </c>
      <c r="O51" s="2">
        <v>101794</v>
      </c>
      <c r="P51" s="3">
        <v>2.3662524313810229E-2</v>
      </c>
    </row>
    <row r="52" spans="1:16" x14ac:dyDescent="0.3">
      <c r="A52" s="1">
        <v>46168</v>
      </c>
      <c r="B52" t="s">
        <v>20</v>
      </c>
      <c r="C52" s="2">
        <v>22</v>
      </c>
      <c r="D52" t="s">
        <v>23</v>
      </c>
      <c r="E52" s="2">
        <v>1</v>
      </c>
      <c r="F52" t="s">
        <v>25</v>
      </c>
      <c r="G52" s="2">
        <v>2100</v>
      </c>
      <c r="H52" s="2">
        <v>2095</v>
      </c>
      <c r="I52" s="3">
        <v>2.5000000000000001E-2</v>
      </c>
      <c r="J52" s="2">
        <v>0.8</v>
      </c>
      <c r="K52" s="2">
        <v>26</v>
      </c>
      <c r="L52" s="3">
        <v>0.96299999999999997</v>
      </c>
      <c r="M52" s="3">
        <v>0.99761904761904763</v>
      </c>
      <c r="N52" s="2">
        <v>80.57692307692308</v>
      </c>
      <c r="O52" s="2">
        <v>103889</v>
      </c>
      <c r="P52" s="3">
        <v>2.3689495519256119E-2</v>
      </c>
    </row>
    <row r="53" spans="1:16" x14ac:dyDescent="0.3">
      <c r="A53" s="1">
        <v>46168</v>
      </c>
      <c r="B53" t="s">
        <v>20</v>
      </c>
      <c r="C53" s="2">
        <v>22</v>
      </c>
      <c r="D53" t="s">
        <v>23</v>
      </c>
      <c r="E53" s="2">
        <v>2</v>
      </c>
      <c r="F53" t="s">
        <v>25</v>
      </c>
      <c r="G53" s="2">
        <v>2100</v>
      </c>
      <c r="H53" s="2">
        <v>2050</v>
      </c>
      <c r="I53" s="3">
        <v>2.5999999999999999E-2</v>
      </c>
      <c r="J53" s="2">
        <v>1.2</v>
      </c>
      <c r="K53" s="2">
        <v>25</v>
      </c>
      <c r="L53" s="3">
        <v>0.95399999999999996</v>
      </c>
      <c r="M53" s="3">
        <v>0.97619047619047616</v>
      </c>
      <c r="N53" s="2">
        <v>82</v>
      </c>
      <c r="O53" s="2">
        <v>105939</v>
      </c>
      <c r="P53" s="3">
        <v>2.3734205533372969E-2</v>
      </c>
    </row>
    <row r="54" spans="1:16" x14ac:dyDescent="0.3">
      <c r="A54" s="1">
        <v>46169</v>
      </c>
      <c r="B54" t="s">
        <v>21</v>
      </c>
      <c r="C54" s="2">
        <v>22</v>
      </c>
      <c r="D54" t="s">
        <v>23</v>
      </c>
      <c r="E54" s="2">
        <v>1</v>
      </c>
      <c r="F54" t="s">
        <v>24</v>
      </c>
      <c r="G54" s="2">
        <v>2100</v>
      </c>
      <c r="H54" s="2">
        <v>2044</v>
      </c>
      <c r="I54" s="3">
        <v>2.3E-2</v>
      </c>
      <c r="J54" s="2">
        <v>0.7</v>
      </c>
      <c r="K54" s="2">
        <v>27</v>
      </c>
      <c r="L54" s="3">
        <v>0.97799999999999998</v>
      </c>
      <c r="M54" s="3">
        <v>0.97333333333333338</v>
      </c>
      <c r="N54" s="2">
        <v>75.703703703703709</v>
      </c>
      <c r="O54" s="2">
        <v>107983</v>
      </c>
      <c r="P54" s="3">
        <v>2.3720307826231898E-2</v>
      </c>
    </row>
    <row r="55" spans="1:16" x14ac:dyDescent="0.3">
      <c r="A55" s="1">
        <v>46169</v>
      </c>
      <c r="B55" t="s">
        <v>21</v>
      </c>
      <c r="C55" s="2">
        <v>22</v>
      </c>
      <c r="D55" t="s">
        <v>23</v>
      </c>
      <c r="E55" s="2">
        <v>2</v>
      </c>
      <c r="F55" t="s">
        <v>24</v>
      </c>
      <c r="G55" s="2">
        <v>2100</v>
      </c>
      <c r="H55" s="2">
        <v>2084</v>
      </c>
      <c r="I55" s="3">
        <v>2.7E-2</v>
      </c>
      <c r="J55" s="2">
        <v>1.1000000000000001</v>
      </c>
      <c r="K55" s="2">
        <v>27</v>
      </c>
      <c r="L55" s="3">
        <v>0.99</v>
      </c>
      <c r="M55" s="3">
        <v>0.99238095238095236</v>
      </c>
      <c r="N55" s="2">
        <v>77.18518518518519</v>
      </c>
      <c r="O55" s="2">
        <v>110067</v>
      </c>
      <c r="P55" s="3">
        <v>2.378240526224935E-2</v>
      </c>
    </row>
    <row r="56" spans="1:16" x14ac:dyDescent="0.3">
      <c r="A56" s="1">
        <v>46170</v>
      </c>
      <c r="B56" t="s">
        <v>22</v>
      </c>
      <c r="C56" s="2">
        <v>22</v>
      </c>
      <c r="D56" t="s">
        <v>23</v>
      </c>
      <c r="E56" s="2">
        <v>1</v>
      </c>
      <c r="F56" t="s">
        <v>25</v>
      </c>
      <c r="G56" s="2">
        <v>2100</v>
      </c>
      <c r="H56" s="2">
        <v>2002</v>
      </c>
      <c r="I56" s="3">
        <v>2.1000000000000001E-2</v>
      </c>
      <c r="J56" s="2">
        <v>1</v>
      </c>
      <c r="K56" s="2">
        <v>26</v>
      </c>
      <c r="L56" s="3">
        <v>0.95599999999999996</v>
      </c>
      <c r="M56" s="3">
        <v>0.95333333333333337</v>
      </c>
      <c r="N56" s="2">
        <v>77</v>
      </c>
      <c r="O56" s="2">
        <v>112069</v>
      </c>
      <c r="P56" s="3">
        <v>2.3732700389938331E-2</v>
      </c>
    </row>
    <row r="57" spans="1:16" x14ac:dyDescent="0.3">
      <c r="A57" s="1">
        <v>46170</v>
      </c>
      <c r="B57" t="s">
        <v>22</v>
      </c>
      <c r="C57" s="2">
        <v>22</v>
      </c>
      <c r="D57" t="s">
        <v>23</v>
      </c>
      <c r="E57" s="2">
        <v>2</v>
      </c>
      <c r="F57" t="s">
        <v>25</v>
      </c>
      <c r="G57" s="2">
        <v>2100</v>
      </c>
      <c r="H57" s="2">
        <v>2040</v>
      </c>
      <c r="I57" s="3">
        <v>2.1999999999999999E-2</v>
      </c>
      <c r="J57" s="2">
        <v>0.6</v>
      </c>
      <c r="K57" s="2">
        <v>25</v>
      </c>
      <c r="L57" s="3">
        <v>0.98699999999999999</v>
      </c>
      <c r="M57" s="3">
        <v>0.97142857142857142</v>
      </c>
      <c r="N57" s="2">
        <v>81.599999999999994</v>
      </c>
      <c r="O57" s="2">
        <v>114109</v>
      </c>
      <c r="P57" s="3">
        <v>2.3701723790410911E-2</v>
      </c>
    </row>
    <row r="58" spans="1:16" x14ac:dyDescent="0.3">
      <c r="A58" s="1">
        <v>46171</v>
      </c>
      <c r="B58" t="s">
        <v>16</v>
      </c>
      <c r="C58" s="2">
        <v>22</v>
      </c>
      <c r="D58" t="s">
        <v>23</v>
      </c>
      <c r="E58" s="2">
        <v>1</v>
      </c>
      <c r="F58" t="s">
        <v>24</v>
      </c>
      <c r="G58" s="2">
        <v>2100</v>
      </c>
      <c r="H58" s="2">
        <v>2070</v>
      </c>
      <c r="I58" s="3">
        <v>2.1000000000000001E-2</v>
      </c>
      <c r="J58" s="2">
        <v>0.8</v>
      </c>
      <c r="K58" s="2">
        <v>27</v>
      </c>
      <c r="L58" s="3">
        <v>0.97599999999999998</v>
      </c>
      <c r="M58" s="3">
        <v>0.98571428571428577</v>
      </c>
      <c r="N58" s="2">
        <v>76.666666666666671</v>
      </c>
      <c r="O58" s="2">
        <v>116179</v>
      </c>
      <c r="P58" s="3">
        <v>2.365358627634942E-2</v>
      </c>
    </row>
    <row r="59" spans="1:16" x14ac:dyDescent="0.3">
      <c r="A59" s="1">
        <v>46171</v>
      </c>
      <c r="B59" t="s">
        <v>16</v>
      </c>
      <c r="C59" s="2">
        <v>22</v>
      </c>
      <c r="D59" t="s">
        <v>23</v>
      </c>
      <c r="E59" s="2">
        <v>2</v>
      </c>
      <c r="F59" t="s">
        <v>24</v>
      </c>
      <c r="G59" s="2">
        <v>2100</v>
      </c>
      <c r="H59" s="2">
        <v>2061</v>
      </c>
      <c r="I59" s="3">
        <v>2.3E-2</v>
      </c>
      <c r="J59" s="2">
        <v>0.8</v>
      </c>
      <c r="K59" s="2">
        <v>25</v>
      </c>
      <c r="L59" s="3">
        <v>0.96299999999999997</v>
      </c>
      <c r="M59" s="3">
        <v>0.98142857142857143</v>
      </c>
      <c r="N59" s="2">
        <v>82.44</v>
      </c>
      <c r="O59" s="2">
        <v>118240</v>
      </c>
      <c r="P59" s="3">
        <v>2.3642193843031109E-2</v>
      </c>
    </row>
    <row r="60" spans="1:16" x14ac:dyDescent="0.3">
      <c r="A60" s="1">
        <v>46172</v>
      </c>
      <c r="B60" t="s">
        <v>17</v>
      </c>
      <c r="C60" s="2">
        <v>22</v>
      </c>
      <c r="D60" t="s">
        <v>23</v>
      </c>
      <c r="E60" s="2">
        <v>1</v>
      </c>
      <c r="F60" t="s">
        <v>25</v>
      </c>
      <c r="G60" s="2">
        <v>2100</v>
      </c>
      <c r="H60" s="2">
        <v>2021</v>
      </c>
      <c r="I60" s="3">
        <v>2.1000000000000001E-2</v>
      </c>
      <c r="J60" s="2">
        <v>0.7</v>
      </c>
      <c r="K60" s="2">
        <v>25</v>
      </c>
      <c r="L60" s="3">
        <v>0.95799999999999996</v>
      </c>
      <c r="M60" s="3">
        <v>0.96238095238095234</v>
      </c>
      <c r="N60" s="2">
        <v>80.84</v>
      </c>
      <c r="O60" s="2">
        <v>120261</v>
      </c>
      <c r="P60" s="3">
        <v>2.359779147021893E-2</v>
      </c>
    </row>
    <row r="61" spans="1:16" x14ac:dyDescent="0.3">
      <c r="A61" s="1">
        <v>46172</v>
      </c>
      <c r="B61" t="s">
        <v>17</v>
      </c>
      <c r="C61" s="2">
        <v>22</v>
      </c>
      <c r="D61" t="s">
        <v>23</v>
      </c>
      <c r="E61" s="2">
        <v>2</v>
      </c>
      <c r="F61" t="s">
        <v>25</v>
      </c>
      <c r="G61" s="2">
        <v>2100</v>
      </c>
      <c r="H61" s="2">
        <v>2083</v>
      </c>
      <c r="I61" s="3">
        <v>2.3E-2</v>
      </c>
      <c r="J61" s="2">
        <v>1.1000000000000001</v>
      </c>
      <c r="K61" s="2">
        <v>26</v>
      </c>
      <c r="L61" s="3">
        <v>0.95699999999999996</v>
      </c>
      <c r="M61" s="3">
        <v>0.99190476190476196</v>
      </c>
      <c r="N61" s="2">
        <v>80.115384615384613</v>
      </c>
      <c r="O61" s="2">
        <v>122344</v>
      </c>
      <c r="P61" s="3">
        <v>2.358761361407179E-2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7"/>
  <sheetViews>
    <sheetView tabSelected="1" workbookViewId="0"/>
  </sheetViews>
  <sheetFormatPr defaultRowHeight="14.4" x14ac:dyDescent="0.3"/>
  <cols>
    <col min="1" max="1" width="17.21875" bestFit="1" customWidth="1"/>
  </cols>
  <sheetData>
    <row r="1" spans="1:8" x14ac:dyDescent="0.3">
      <c r="A1" s="4" t="s">
        <v>26</v>
      </c>
    </row>
    <row r="2" spans="1:8" x14ac:dyDescent="0.3">
      <c r="A2" s="4" t="s">
        <v>0</v>
      </c>
      <c r="B2" s="4" t="s">
        <v>7</v>
      </c>
      <c r="C2" s="4" t="s">
        <v>6</v>
      </c>
      <c r="D2" s="4" t="s">
        <v>12</v>
      </c>
      <c r="E2" s="4" t="s">
        <v>8</v>
      </c>
      <c r="F2" s="4" t="s">
        <v>11</v>
      </c>
      <c r="G2" s="4" t="s">
        <v>9</v>
      </c>
      <c r="H2" s="4" t="s">
        <v>13</v>
      </c>
    </row>
    <row r="3" spans="1:8" x14ac:dyDescent="0.3">
      <c r="A3" s="1">
        <v>46143</v>
      </c>
      <c r="B3" s="2">
        <v>4062</v>
      </c>
      <c r="C3" s="2">
        <v>4200</v>
      </c>
      <c r="D3" s="3">
        <v>0.96714285714285719</v>
      </c>
      <c r="E3" s="3">
        <v>2.4E-2</v>
      </c>
      <c r="F3" s="3">
        <v>0.97799999999999998</v>
      </c>
      <c r="G3" s="2">
        <v>1.2</v>
      </c>
      <c r="H3" s="2">
        <v>78.291851851851845</v>
      </c>
    </row>
    <row r="4" spans="1:8" x14ac:dyDescent="0.3">
      <c r="A4" s="1">
        <v>46144</v>
      </c>
      <c r="B4" s="2">
        <v>4140</v>
      </c>
      <c r="C4" s="2">
        <v>4200</v>
      </c>
      <c r="D4" s="3">
        <v>0.98571428571428577</v>
      </c>
      <c r="E4" s="3">
        <v>2.2499999999999999E-2</v>
      </c>
      <c r="F4" s="3">
        <v>0.98</v>
      </c>
      <c r="G4" s="2">
        <v>1.9</v>
      </c>
      <c r="H4" s="2">
        <v>79.714074074074077</v>
      </c>
    </row>
    <row r="5" spans="1:8" x14ac:dyDescent="0.3">
      <c r="A5" s="1">
        <v>46145</v>
      </c>
      <c r="B5" s="2">
        <v>4066</v>
      </c>
      <c r="C5" s="2">
        <v>4200</v>
      </c>
      <c r="D5" s="3">
        <v>0.96809523809523812</v>
      </c>
      <c r="E5" s="3">
        <v>2.3E-2</v>
      </c>
      <c r="F5" s="3">
        <v>0.97</v>
      </c>
      <c r="G5" s="2">
        <v>1</v>
      </c>
      <c r="H5" s="2">
        <v>78.339259259259251</v>
      </c>
    </row>
    <row r="6" spans="1:8" x14ac:dyDescent="0.3">
      <c r="A6" s="1">
        <v>46146</v>
      </c>
      <c r="B6" s="2">
        <v>4003</v>
      </c>
      <c r="C6" s="2">
        <v>4200</v>
      </c>
      <c r="D6" s="3">
        <v>0.95309523809523811</v>
      </c>
      <c r="E6" s="3">
        <v>2.5499999999999998E-2</v>
      </c>
      <c r="F6" s="3">
        <v>0.96199999999999997</v>
      </c>
      <c r="G6" s="2">
        <v>1.8</v>
      </c>
      <c r="H6" s="2">
        <v>78.513076923076923</v>
      </c>
    </row>
    <row r="7" spans="1:8" x14ac:dyDescent="0.3">
      <c r="A7" s="1">
        <v>46147</v>
      </c>
      <c r="B7" s="2">
        <v>4075</v>
      </c>
      <c r="C7" s="2">
        <v>4200</v>
      </c>
      <c r="D7" s="3">
        <v>0.97023809523809523</v>
      </c>
      <c r="E7" s="3">
        <v>2.2499999999999999E-2</v>
      </c>
      <c r="F7" s="3">
        <v>0.97599999999999998</v>
      </c>
      <c r="G7" s="2">
        <v>2</v>
      </c>
      <c r="H7" s="2">
        <v>76.881054131054128</v>
      </c>
    </row>
    <row r="8" spans="1:8" x14ac:dyDescent="0.3">
      <c r="A8" s="1">
        <v>46148</v>
      </c>
      <c r="B8" s="2">
        <v>4044</v>
      </c>
      <c r="C8" s="2">
        <v>4200</v>
      </c>
      <c r="D8" s="3">
        <v>0.96285714285714286</v>
      </c>
      <c r="E8" s="3">
        <v>2.3E-2</v>
      </c>
      <c r="F8" s="3">
        <v>0.97750000000000004</v>
      </c>
      <c r="G8" s="2">
        <v>2</v>
      </c>
      <c r="H8" s="2">
        <v>77.868148148148151</v>
      </c>
    </row>
    <row r="9" spans="1:8" x14ac:dyDescent="0.3">
      <c r="A9" s="1">
        <v>46149</v>
      </c>
      <c r="B9" s="2">
        <v>4136</v>
      </c>
      <c r="C9" s="2">
        <v>4200</v>
      </c>
      <c r="D9" s="3">
        <v>0.98476190476190473</v>
      </c>
      <c r="E9" s="3">
        <v>2.4E-2</v>
      </c>
      <c r="F9" s="3">
        <v>0.97399999999999998</v>
      </c>
      <c r="G9" s="2">
        <v>1.5</v>
      </c>
      <c r="H9" s="2">
        <v>81.137692307692305</v>
      </c>
    </row>
    <row r="10" spans="1:8" x14ac:dyDescent="0.3">
      <c r="A10" s="1">
        <v>46150</v>
      </c>
      <c r="B10" s="2">
        <v>4088</v>
      </c>
      <c r="C10" s="2">
        <v>4200</v>
      </c>
      <c r="D10" s="3">
        <v>0.97333333333333338</v>
      </c>
      <c r="E10" s="3">
        <v>2.2499999999999999E-2</v>
      </c>
      <c r="F10" s="3">
        <v>0.97649999999999992</v>
      </c>
      <c r="G10" s="2">
        <v>1.6</v>
      </c>
      <c r="H10" s="2">
        <v>80.209230769230771</v>
      </c>
    </row>
    <row r="11" spans="1:8" x14ac:dyDescent="0.3">
      <c r="A11" s="1">
        <v>46151</v>
      </c>
      <c r="B11" s="2">
        <v>4092</v>
      </c>
      <c r="C11" s="2">
        <v>4200</v>
      </c>
      <c r="D11" s="3">
        <v>0.97428571428571431</v>
      </c>
      <c r="E11" s="3">
        <v>2.3E-2</v>
      </c>
      <c r="F11" s="3">
        <v>0.95099999999999996</v>
      </c>
      <c r="G11" s="2">
        <v>2</v>
      </c>
      <c r="H11" s="2">
        <v>78.692307692307693</v>
      </c>
    </row>
    <row r="12" spans="1:8" x14ac:dyDescent="0.3">
      <c r="A12" s="1">
        <v>46152</v>
      </c>
      <c r="B12" s="2">
        <v>4123</v>
      </c>
      <c r="C12" s="2">
        <v>4200</v>
      </c>
      <c r="D12" s="3">
        <v>0.98166666666666669</v>
      </c>
      <c r="E12" s="3">
        <v>2.5999999999999999E-2</v>
      </c>
      <c r="F12" s="3">
        <v>0.97399999999999998</v>
      </c>
      <c r="G12" s="2">
        <v>1.2</v>
      </c>
      <c r="H12" s="2">
        <v>77.818376068376068</v>
      </c>
    </row>
    <row r="13" spans="1:8" x14ac:dyDescent="0.3">
      <c r="A13" s="1">
        <v>46153</v>
      </c>
      <c r="B13" s="2">
        <v>4089</v>
      </c>
      <c r="C13" s="2">
        <v>4200</v>
      </c>
      <c r="D13" s="3">
        <v>0.97357142857142853</v>
      </c>
      <c r="E13" s="3">
        <v>2.4E-2</v>
      </c>
      <c r="F13" s="3">
        <v>0.97049999999999992</v>
      </c>
      <c r="G13" s="2">
        <v>1.8</v>
      </c>
      <c r="H13" s="2">
        <v>77.173789173789174</v>
      </c>
    </row>
    <row r="14" spans="1:8" x14ac:dyDescent="0.3">
      <c r="A14" s="1">
        <v>46154</v>
      </c>
      <c r="B14" s="2">
        <v>4036</v>
      </c>
      <c r="C14" s="2">
        <v>4200</v>
      </c>
      <c r="D14" s="3">
        <v>0.960952380952381</v>
      </c>
      <c r="E14" s="3">
        <v>2.35E-2</v>
      </c>
      <c r="F14" s="3">
        <v>0.97049999999999992</v>
      </c>
      <c r="G14" s="2">
        <v>1.8</v>
      </c>
      <c r="H14" s="2">
        <v>77.615384615384613</v>
      </c>
    </row>
    <row r="15" spans="1:8" x14ac:dyDescent="0.3">
      <c r="A15" s="1">
        <v>46155</v>
      </c>
      <c r="B15" s="2">
        <v>4079</v>
      </c>
      <c r="C15" s="2">
        <v>4200</v>
      </c>
      <c r="D15" s="3">
        <v>0.97119047619047616</v>
      </c>
      <c r="E15" s="3">
        <v>2.5000000000000001E-2</v>
      </c>
      <c r="F15" s="3">
        <v>0.95550000000000002</v>
      </c>
      <c r="G15" s="2">
        <v>2.2000000000000002</v>
      </c>
      <c r="H15" s="2">
        <v>75.537037037037038</v>
      </c>
    </row>
    <row r="16" spans="1:8" x14ac:dyDescent="0.3">
      <c r="A16" s="1">
        <v>46156</v>
      </c>
      <c r="B16" s="2">
        <v>4060</v>
      </c>
      <c r="C16" s="2">
        <v>4200</v>
      </c>
      <c r="D16" s="3">
        <v>0.96666666666666667</v>
      </c>
      <c r="E16" s="3">
        <v>2.4E-2</v>
      </c>
      <c r="F16" s="3">
        <v>0.96950000000000003</v>
      </c>
      <c r="G16" s="2">
        <v>1.9</v>
      </c>
      <c r="H16" s="2">
        <v>75.18518518518519</v>
      </c>
    </row>
    <row r="17" spans="1:8" x14ac:dyDescent="0.3">
      <c r="A17" s="1">
        <v>46157</v>
      </c>
      <c r="B17" s="2">
        <v>4043</v>
      </c>
      <c r="C17" s="2">
        <v>4200</v>
      </c>
      <c r="D17" s="3">
        <v>0.9626190476190476</v>
      </c>
      <c r="E17" s="3">
        <v>2.35E-2</v>
      </c>
      <c r="F17" s="3">
        <v>0.96950000000000003</v>
      </c>
      <c r="G17" s="2">
        <v>2.1</v>
      </c>
      <c r="H17" s="2">
        <v>77.910370370370373</v>
      </c>
    </row>
    <row r="18" spans="1:8" x14ac:dyDescent="0.3">
      <c r="A18" s="1">
        <v>46158</v>
      </c>
      <c r="B18" s="2">
        <v>3996</v>
      </c>
      <c r="C18" s="2">
        <v>4200</v>
      </c>
      <c r="D18" s="3">
        <v>0.9514285714285714</v>
      </c>
      <c r="E18" s="3">
        <v>2.4500000000000001E-2</v>
      </c>
      <c r="F18" s="3">
        <v>0.96899999999999997</v>
      </c>
      <c r="G18" s="2">
        <v>1.8</v>
      </c>
      <c r="H18" s="2">
        <v>75.425213675213683</v>
      </c>
    </row>
    <row r="19" spans="1:8" x14ac:dyDescent="0.3">
      <c r="A19" s="1">
        <v>46159</v>
      </c>
      <c r="B19" s="2">
        <v>4085</v>
      </c>
      <c r="C19" s="2">
        <v>4200</v>
      </c>
      <c r="D19" s="3">
        <v>0.97261904761904761</v>
      </c>
      <c r="E19" s="3">
        <v>2.4E-2</v>
      </c>
      <c r="F19" s="3">
        <v>0.98350000000000004</v>
      </c>
      <c r="G19" s="2">
        <v>1.7</v>
      </c>
      <c r="H19" s="2">
        <v>77.128917378917379</v>
      </c>
    </row>
    <row r="20" spans="1:8" x14ac:dyDescent="0.3">
      <c r="A20" s="1">
        <v>46160</v>
      </c>
      <c r="B20" s="2">
        <v>4018</v>
      </c>
      <c r="C20" s="2">
        <v>4200</v>
      </c>
      <c r="D20" s="3">
        <v>0.95666666666666667</v>
      </c>
      <c r="E20" s="3">
        <v>2.2499999999999999E-2</v>
      </c>
      <c r="F20" s="3">
        <v>0.98499999999999999</v>
      </c>
      <c r="G20" s="2">
        <v>1.6</v>
      </c>
      <c r="H20" s="2">
        <v>75.847578347578349</v>
      </c>
    </row>
    <row r="21" spans="1:8" x14ac:dyDescent="0.3">
      <c r="A21" s="1">
        <v>46161</v>
      </c>
      <c r="B21" s="2">
        <v>4033</v>
      </c>
      <c r="C21" s="2">
        <v>4200</v>
      </c>
      <c r="D21" s="3">
        <v>0.96023809523809522</v>
      </c>
      <c r="E21" s="3">
        <v>2.0500000000000001E-2</v>
      </c>
      <c r="F21" s="3">
        <v>0.96350000000000002</v>
      </c>
      <c r="G21" s="2">
        <v>1.1000000000000001</v>
      </c>
      <c r="H21" s="2">
        <v>77.634814814814817</v>
      </c>
    </row>
    <row r="22" spans="1:8" x14ac:dyDescent="0.3">
      <c r="A22" s="1">
        <v>46162</v>
      </c>
      <c r="B22" s="2">
        <v>4075</v>
      </c>
      <c r="C22" s="2">
        <v>4200</v>
      </c>
      <c r="D22" s="3">
        <v>0.97023809523809523</v>
      </c>
      <c r="E22" s="3">
        <v>2.4500000000000001E-2</v>
      </c>
      <c r="F22" s="3">
        <v>0.97799999999999998</v>
      </c>
      <c r="G22" s="2">
        <v>1.9</v>
      </c>
      <c r="H22" s="2">
        <v>78.476296296296297</v>
      </c>
    </row>
    <row r="23" spans="1:8" x14ac:dyDescent="0.3">
      <c r="A23" s="1">
        <v>46163</v>
      </c>
      <c r="B23" s="2">
        <v>4098</v>
      </c>
      <c r="C23" s="2">
        <v>4200</v>
      </c>
      <c r="D23" s="3">
        <v>0.97571428571428576</v>
      </c>
      <c r="E23" s="3">
        <v>2.35E-2</v>
      </c>
      <c r="F23" s="3">
        <v>0.96</v>
      </c>
      <c r="G23" s="2">
        <v>1.7</v>
      </c>
      <c r="H23" s="2">
        <v>77.323361823361836</v>
      </c>
    </row>
    <row r="24" spans="1:8" x14ac:dyDescent="0.3">
      <c r="A24" s="1">
        <v>46164</v>
      </c>
      <c r="B24" s="2">
        <v>4095</v>
      </c>
      <c r="C24" s="2">
        <v>4200</v>
      </c>
      <c r="D24" s="3">
        <v>0.97499999999999998</v>
      </c>
      <c r="E24" s="3">
        <v>2.5000000000000001E-2</v>
      </c>
      <c r="F24" s="3">
        <v>0.96399999999999997</v>
      </c>
      <c r="G24" s="2">
        <v>1.8</v>
      </c>
      <c r="H24" s="2">
        <v>78.873333333333335</v>
      </c>
    </row>
    <row r="25" spans="1:8" x14ac:dyDescent="0.3">
      <c r="A25" s="1">
        <v>46165</v>
      </c>
      <c r="B25" s="2">
        <v>3993</v>
      </c>
      <c r="C25" s="2">
        <v>4200</v>
      </c>
      <c r="D25" s="3">
        <v>0.95071428571428573</v>
      </c>
      <c r="E25" s="3">
        <v>2.4500000000000001E-2</v>
      </c>
      <c r="F25" s="3">
        <v>0.98399999999999999</v>
      </c>
      <c r="G25" s="2">
        <v>2</v>
      </c>
      <c r="H25" s="2">
        <v>76.788461538461547</v>
      </c>
    </row>
    <row r="26" spans="1:8" x14ac:dyDescent="0.3">
      <c r="A26" s="1">
        <v>46166</v>
      </c>
      <c r="B26" s="2">
        <v>4100</v>
      </c>
      <c r="C26" s="2">
        <v>4200</v>
      </c>
      <c r="D26" s="3">
        <v>0.97619047619047616</v>
      </c>
      <c r="E26" s="3">
        <v>2.5000000000000001E-2</v>
      </c>
      <c r="F26" s="3">
        <v>0.97150000000000003</v>
      </c>
      <c r="G26" s="2">
        <v>1.9</v>
      </c>
      <c r="H26" s="2">
        <v>78.977777777777789</v>
      </c>
    </row>
    <row r="27" spans="1:8" x14ac:dyDescent="0.3">
      <c r="A27" s="1">
        <v>46167</v>
      </c>
      <c r="B27" s="2">
        <v>4165</v>
      </c>
      <c r="C27" s="2">
        <v>4200</v>
      </c>
      <c r="D27" s="3">
        <v>0.9916666666666667</v>
      </c>
      <c r="E27" s="3">
        <v>2.1499999999999998E-2</v>
      </c>
      <c r="F27" s="3">
        <v>0.96899999999999997</v>
      </c>
      <c r="G27" s="2">
        <v>1.7</v>
      </c>
      <c r="H27" s="2">
        <v>78.623931623931625</v>
      </c>
    </row>
    <row r="28" spans="1:8" x14ac:dyDescent="0.3">
      <c r="A28" s="1">
        <v>46168</v>
      </c>
      <c r="B28" s="2">
        <v>4145</v>
      </c>
      <c r="C28" s="2">
        <v>4200</v>
      </c>
      <c r="D28" s="3">
        <v>0.98690476190476195</v>
      </c>
      <c r="E28" s="3">
        <v>2.5499999999999998E-2</v>
      </c>
      <c r="F28" s="3">
        <v>0.95849999999999991</v>
      </c>
      <c r="G28" s="2">
        <v>2</v>
      </c>
      <c r="H28" s="2">
        <v>81.288461538461547</v>
      </c>
    </row>
    <row r="29" spans="1:8" x14ac:dyDescent="0.3">
      <c r="A29" s="1">
        <v>46169</v>
      </c>
      <c r="B29" s="2">
        <v>4128</v>
      </c>
      <c r="C29" s="2">
        <v>4200</v>
      </c>
      <c r="D29" s="3">
        <v>0.98285714285714287</v>
      </c>
      <c r="E29" s="3">
        <v>2.5000000000000001E-2</v>
      </c>
      <c r="F29" s="3">
        <v>0.98399999999999999</v>
      </c>
      <c r="G29" s="2">
        <v>1.8</v>
      </c>
      <c r="H29" s="2">
        <v>76.444444444444457</v>
      </c>
    </row>
    <row r="30" spans="1:8" x14ac:dyDescent="0.3">
      <c r="A30" s="1">
        <v>46170</v>
      </c>
      <c r="B30" s="2">
        <v>4042</v>
      </c>
      <c r="C30" s="2">
        <v>4200</v>
      </c>
      <c r="D30" s="3">
        <v>0.96238095238095234</v>
      </c>
      <c r="E30" s="3">
        <v>2.1499999999999998E-2</v>
      </c>
      <c r="F30" s="3">
        <v>0.97150000000000003</v>
      </c>
      <c r="G30" s="2">
        <v>1.6</v>
      </c>
      <c r="H30" s="2">
        <v>79.3</v>
      </c>
    </row>
    <row r="31" spans="1:8" x14ac:dyDescent="0.3">
      <c r="A31" s="1">
        <v>46171</v>
      </c>
      <c r="B31" s="2">
        <v>4131</v>
      </c>
      <c r="C31" s="2">
        <v>4200</v>
      </c>
      <c r="D31" s="3">
        <v>0.98357142857142854</v>
      </c>
      <c r="E31" s="3">
        <v>2.1999999999999999E-2</v>
      </c>
      <c r="F31" s="3">
        <v>0.96950000000000003</v>
      </c>
      <c r="G31" s="2">
        <v>1.6</v>
      </c>
      <c r="H31" s="2">
        <v>79.553333333333342</v>
      </c>
    </row>
    <row r="32" spans="1:8" x14ac:dyDescent="0.3">
      <c r="A32" s="1">
        <v>46172</v>
      </c>
      <c r="B32" s="2">
        <v>4104</v>
      </c>
      <c r="C32" s="2">
        <v>4200</v>
      </c>
      <c r="D32" s="3">
        <v>0.97714285714285709</v>
      </c>
      <c r="E32" s="3">
        <v>2.1999999999999999E-2</v>
      </c>
      <c r="F32" s="3">
        <v>0.95750000000000002</v>
      </c>
      <c r="G32" s="2">
        <v>1.8</v>
      </c>
      <c r="H32" s="2">
        <v>80.477692307692308</v>
      </c>
    </row>
    <row r="35" spans="1:8" x14ac:dyDescent="0.3">
      <c r="A35" s="4" t="s">
        <v>27</v>
      </c>
    </row>
    <row r="36" spans="1:8" x14ac:dyDescent="0.3">
      <c r="A36" s="4" t="s">
        <v>2</v>
      </c>
      <c r="B36" s="4" t="s">
        <v>7</v>
      </c>
      <c r="C36" s="4" t="s">
        <v>6</v>
      </c>
      <c r="D36" s="4" t="s">
        <v>12</v>
      </c>
      <c r="E36" s="4" t="s">
        <v>8</v>
      </c>
      <c r="F36" s="4" t="s">
        <v>11</v>
      </c>
      <c r="G36" s="4" t="s">
        <v>9</v>
      </c>
      <c r="H36" s="4" t="s">
        <v>13</v>
      </c>
    </row>
    <row r="37" spans="1:8" x14ac:dyDescent="0.3">
      <c r="A37" s="2">
        <v>18</v>
      </c>
      <c r="B37" s="2">
        <v>12268</v>
      </c>
      <c r="C37" s="2">
        <v>12600</v>
      </c>
      <c r="D37" s="3">
        <v>0.97365079365079366</v>
      </c>
      <c r="E37" s="3">
        <v>2.3166666666666669E-2</v>
      </c>
      <c r="F37" s="3">
        <v>0.97599999999999998</v>
      </c>
      <c r="G37" s="2">
        <v>4.0999999999999996</v>
      </c>
      <c r="H37" s="2">
        <v>78.781728395061734</v>
      </c>
    </row>
    <row r="38" spans="1:8" x14ac:dyDescent="0.3">
      <c r="A38" s="2">
        <v>19</v>
      </c>
      <c r="B38" s="2">
        <v>28561</v>
      </c>
      <c r="C38" s="2">
        <v>29400</v>
      </c>
      <c r="D38" s="3">
        <v>0.97146258503401361</v>
      </c>
      <c r="E38" s="3">
        <v>2.3785714285714289E-2</v>
      </c>
      <c r="F38" s="3">
        <v>0.97014285714285708</v>
      </c>
      <c r="G38" s="2">
        <v>12.1</v>
      </c>
      <c r="H38" s="2">
        <v>78.731412291412298</v>
      </c>
    </row>
    <row r="39" spans="1:8" x14ac:dyDescent="0.3">
      <c r="A39" s="2">
        <v>20</v>
      </c>
      <c r="B39" s="2">
        <v>28388</v>
      </c>
      <c r="C39" s="2">
        <v>29400</v>
      </c>
      <c r="D39" s="3">
        <v>0.96557823129251696</v>
      </c>
      <c r="E39" s="3">
        <v>2.407142857142857E-2</v>
      </c>
      <c r="F39" s="3">
        <v>0.96971428571428575</v>
      </c>
      <c r="G39" s="2">
        <v>13.3</v>
      </c>
      <c r="H39" s="2">
        <v>76.567985347985342</v>
      </c>
    </row>
    <row r="40" spans="1:8" x14ac:dyDescent="0.3">
      <c r="A40" s="2">
        <v>21</v>
      </c>
      <c r="B40" s="2">
        <v>28412</v>
      </c>
      <c r="C40" s="2">
        <v>29400</v>
      </c>
      <c r="D40" s="3">
        <v>0.96639455782312922</v>
      </c>
      <c r="E40" s="3">
        <v>2.3642857142857139E-2</v>
      </c>
      <c r="F40" s="3">
        <v>0.97228571428571431</v>
      </c>
      <c r="G40" s="2">
        <v>12</v>
      </c>
      <c r="H40" s="2">
        <v>77.703089133089136</v>
      </c>
    </row>
    <row r="41" spans="1:8" x14ac:dyDescent="0.3">
      <c r="A41" s="2">
        <v>22</v>
      </c>
      <c r="B41" s="2">
        <v>24715</v>
      </c>
      <c r="C41" s="2">
        <v>25200</v>
      </c>
      <c r="D41" s="3">
        <v>0.98075396825396821</v>
      </c>
      <c r="E41" s="3">
        <v>2.2916666666666669E-2</v>
      </c>
      <c r="F41" s="3">
        <v>0.96833333333333327</v>
      </c>
      <c r="G41" s="2">
        <v>10.5</v>
      </c>
      <c r="H41" s="2">
        <v>79.281310541310546</v>
      </c>
    </row>
    <row r="45" spans="1:8" x14ac:dyDescent="0.3">
      <c r="A45" s="4" t="s">
        <v>28</v>
      </c>
    </row>
    <row r="46" spans="1:8" x14ac:dyDescent="0.3">
      <c r="A46" s="4" t="s">
        <v>3</v>
      </c>
      <c r="B46" s="4" t="s">
        <v>7</v>
      </c>
      <c r="C46" s="4" t="s">
        <v>6</v>
      </c>
      <c r="D46" s="4" t="s">
        <v>12</v>
      </c>
      <c r="E46" s="4" t="s">
        <v>8</v>
      </c>
      <c r="F46" s="4" t="s">
        <v>11</v>
      </c>
      <c r="G46" s="4" t="s">
        <v>9</v>
      </c>
      <c r="H46" s="4" t="s">
        <v>13</v>
      </c>
    </row>
    <row r="47" spans="1:8" x14ac:dyDescent="0.3">
      <c r="A47" t="s">
        <v>23</v>
      </c>
      <c r="B47" s="2">
        <v>122344</v>
      </c>
      <c r="C47" s="2">
        <v>126000</v>
      </c>
      <c r="D47" s="3">
        <v>0.97098412698412695</v>
      </c>
      <c r="E47" s="3">
        <v>2.3583333333333331E-2</v>
      </c>
      <c r="F47" s="3">
        <v>0.97076666666666656</v>
      </c>
      <c r="G47" s="2">
        <v>52</v>
      </c>
      <c r="H47" s="2">
        <v>78.101681861348524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L17"/>
  <sheetViews>
    <sheetView showGridLines="0" workbookViewId="0">
      <selection activeCell="R14" sqref="R14"/>
    </sheetView>
  </sheetViews>
  <sheetFormatPr defaultRowHeight="14.4" x14ac:dyDescent="0.3"/>
  <cols>
    <col min="1" max="1" width="2.6640625" customWidth="1"/>
    <col min="2" max="13" width="16.6640625" customWidth="1"/>
  </cols>
  <sheetData>
    <row r="1" spans="2:12" ht="21" x14ac:dyDescent="0.3">
      <c r="B1" s="5" t="s">
        <v>29</v>
      </c>
    </row>
    <row r="3" spans="2:12" x14ac:dyDescent="0.3">
      <c r="B3" s="6" t="s">
        <v>30</v>
      </c>
      <c r="D3" s="6" t="s">
        <v>31</v>
      </c>
      <c r="F3" s="6" t="s">
        <v>32</v>
      </c>
      <c r="H3" s="6" t="s">
        <v>33</v>
      </c>
      <c r="J3" s="6" t="s">
        <v>13</v>
      </c>
      <c r="L3" s="6" t="s">
        <v>9</v>
      </c>
    </row>
    <row r="4" spans="2:12" ht="18" x14ac:dyDescent="0.3">
      <c r="B4" s="7">
        <f>SUM(Datos_Diarios!H:H)</f>
        <v>122344</v>
      </c>
      <c r="D4" s="8">
        <f>IF(SUM(Datos_Diarios!G:G)&gt;0,SUM(Datos_Diarios!H:H)/SUM(Datos_Diarios!G:G),0)</f>
        <v>0.97098412698412695</v>
      </c>
      <c r="F4" s="8">
        <f>AVERAGE(Datos_Diarios!L:L)</f>
        <v>0.97076666666666667</v>
      </c>
      <c r="H4" s="8">
        <f>AVERAGE(Datos_Diarios!I:I)</f>
        <v>2.3583333333333328E-2</v>
      </c>
      <c r="J4" s="7">
        <f>AVERAGE(Datos_Diarios!N:N)</f>
        <v>78.101681861348553</v>
      </c>
      <c r="L4" s="7">
        <f>SUM(Datos_Diarios!J:J)</f>
        <v>52.000000000000007</v>
      </c>
    </row>
    <row r="7" spans="2:12" x14ac:dyDescent="0.3">
      <c r="J7" s="4" t="s">
        <v>36</v>
      </c>
    </row>
    <row r="8" spans="2:12" x14ac:dyDescent="0.3">
      <c r="C8" s="4" t="s">
        <v>34</v>
      </c>
      <c r="J8" s="9" t="s">
        <v>37</v>
      </c>
      <c r="K8" s="9" t="s">
        <v>38</v>
      </c>
    </row>
    <row r="9" spans="2:12" x14ac:dyDescent="0.3">
      <c r="C9" s="4" t="s">
        <v>4</v>
      </c>
      <c r="D9" s="4" t="s">
        <v>7</v>
      </c>
      <c r="E9" s="4" t="s">
        <v>12</v>
      </c>
      <c r="F9" s="4" t="s">
        <v>11</v>
      </c>
      <c r="G9" s="4" t="s">
        <v>8</v>
      </c>
      <c r="J9" s="9" t="s">
        <v>39</v>
      </c>
      <c r="K9" s="1">
        <v>46167</v>
      </c>
    </row>
    <row r="10" spans="2:12" x14ac:dyDescent="0.3">
      <c r="C10" s="2">
        <v>1</v>
      </c>
      <c r="D10" s="2">
        <v>61071</v>
      </c>
      <c r="E10" s="3">
        <v>0.96938095238095234</v>
      </c>
      <c r="F10" s="3">
        <v>0.9693666666666666</v>
      </c>
      <c r="G10" s="3">
        <v>2.346666666666667E-2</v>
      </c>
      <c r="J10" s="9" t="s">
        <v>40</v>
      </c>
      <c r="K10" s="1">
        <v>46155</v>
      </c>
    </row>
    <row r="11" spans="2:12" x14ac:dyDescent="0.3">
      <c r="C11" s="2">
        <v>2</v>
      </c>
      <c r="D11" s="2">
        <v>61273</v>
      </c>
      <c r="E11" s="3">
        <v>0.97258730158730156</v>
      </c>
      <c r="F11" s="3">
        <v>0.97216666666666662</v>
      </c>
      <c r="G11" s="3">
        <v>2.3699999999999999E-2</v>
      </c>
      <c r="J11" s="9" t="s">
        <v>41</v>
      </c>
      <c r="K11" s="1">
        <v>46151</v>
      </c>
    </row>
    <row r="12" spans="2:12" x14ac:dyDescent="0.3">
      <c r="J12" s="9" t="s">
        <v>42</v>
      </c>
      <c r="K12" s="9" t="s">
        <v>25</v>
      </c>
    </row>
    <row r="13" spans="2:12" x14ac:dyDescent="0.3">
      <c r="J13" s="9" t="s">
        <v>43</v>
      </c>
      <c r="K13" s="9">
        <v>2</v>
      </c>
    </row>
    <row r="14" spans="2:12" x14ac:dyDescent="0.3">
      <c r="C14" s="4" t="s">
        <v>35</v>
      </c>
    </row>
    <row r="15" spans="2:12" x14ac:dyDescent="0.3">
      <c r="C15" s="4" t="s">
        <v>5</v>
      </c>
      <c r="D15" s="4" t="s">
        <v>7</v>
      </c>
      <c r="E15" s="4" t="s">
        <v>12</v>
      </c>
      <c r="F15" s="4" t="s">
        <v>11</v>
      </c>
      <c r="G15" s="4" t="s">
        <v>8</v>
      </c>
      <c r="H15" s="4" t="s">
        <v>9</v>
      </c>
    </row>
    <row r="16" spans="2:12" x14ac:dyDescent="0.3">
      <c r="C16" t="s">
        <v>24</v>
      </c>
      <c r="D16" s="2">
        <v>61275</v>
      </c>
      <c r="E16" s="3">
        <v>0.97261904761904761</v>
      </c>
      <c r="F16" s="3">
        <v>0.97053333333333336</v>
      </c>
      <c r="G16" s="3">
        <v>2.3333333333333331E-2</v>
      </c>
      <c r="H16" s="2">
        <v>25.4</v>
      </c>
    </row>
    <row r="17" spans="3:8" x14ac:dyDescent="0.3">
      <c r="C17" t="s">
        <v>25</v>
      </c>
      <c r="D17" s="2">
        <v>61069</v>
      </c>
      <c r="E17" s="3">
        <v>0.96934920634920629</v>
      </c>
      <c r="F17" s="3">
        <v>0.97099999999999997</v>
      </c>
      <c r="G17" s="3">
        <v>2.3833333333333331E-2</v>
      </c>
      <c r="H17" s="2">
        <v>26.6</v>
      </c>
    </row>
  </sheetData>
  <phoneticPr fontId="6" type="noConversion"/>
  <conditionalFormatting sqref="D4">
    <cfRule type="expression" dxfId="8" priority="1">
      <formula>D4&gt;=0.97</formula>
    </cfRule>
    <cfRule type="expression" dxfId="7" priority="2">
      <formula>AND(D4&gt;=0.95,D4&lt;0.97)</formula>
    </cfRule>
    <cfRule type="expression" dxfId="6" priority="3">
      <formula>D4&lt;0.95</formula>
    </cfRule>
  </conditionalFormatting>
  <conditionalFormatting sqref="F4">
    <cfRule type="expression" dxfId="5" priority="4">
      <formula>F4&gt;=0.97</formula>
    </cfRule>
    <cfRule type="expression" dxfId="4" priority="5">
      <formula>AND(F4&gt;=0.95,F4&lt;0.97)</formula>
    </cfRule>
    <cfRule type="expression" dxfId="3" priority="6">
      <formula>F4&lt;0.95</formula>
    </cfRule>
  </conditionalFormatting>
  <conditionalFormatting sqref="H4">
    <cfRule type="expression" dxfId="2" priority="7">
      <formula>H4&lt;=0.023</formula>
    </cfRule>
    <cfRule type="expression" dxfId="1" priority="8">
      <formula>AND(H4&gt;0.023,H4&lt;=0.026)</formula>
    </cfRule>
    <cfRule type="expression" dxfId="0" priority="9">
      <formula>H4&gt;0.026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Datos_Diarios</vt:lpstr>
      <vt:lpstr>Resumen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Ricardo Huacuja Landa</cp:lastModifiedBy>
  <dcterms:created xsi:type="dcterms:W3CDTF">2026-06-09T01:41:29Z</dcterms:created>
  <dcterms:modified xsi:type="dcterms:W3CDTF">2026-06-09T01:46:03Z</dcterms:modified>
</cp:coreProperties>
</file>